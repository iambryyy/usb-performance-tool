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sults" sheetId="2" r:id="rId2"/>
    <sheet name="Issues" sheetId="3" r:id="rId3"/>
    <sheet name="Analysis" sheetId="4" r:id="rId4"/>
    <sheet name="Notes" sheetId="5" r:id="rId5"/>
  </sheets>
  <definedNames>
    <definedName name="_xlnm.Print_Titles" localSheetId="1">Results!$4:$4</definedName>
  </definedNames>
  <calcPr calcId="124519" fullCalcOnLoad="1"/>
</workbook>
</file>

<file path=xl/sharedStrings.xml><?xml version="1.0" encoding="utf-8"?>
<sst xmlns="http://schemas.openxmlformats.org/spreadsheetml/2006/main" count="218" uniqueCount="162">
  <si>
    <t>TEST RESULTS — DETAILED DATA</t>
  </si>
  <si>
    <t>Use the arrows on the header row to filter or sort. Time, SSID, BSSID, firmware and other traceability columns are grouped — click the [+] above 'Failure Reason' to show them.</t>
  </si>
  <si>
    <t>TEST CASE</t>
  </si>
  <si>
    <t>MEASUREMENT</t>
  </si>
  <si>
    <t>RESULT</t>
  </si>
  <si>
    <t>DUT Role</t>
  </si>
  <si>
    <t>Interface</t>
  </si>
  <si>
    <t>Connection</t>
  </si>
  <si>
    <t>USB Format</t>
  </si>
  <si>
    <t>Direction</t>
  </si>
  <si>
    <t>File</t>
  </si>
  <si>
    <t>Round</t>
  </si>
  <si>
    <t>Throughput (MB/s)</t>
  </si>
  <si>
    <t>Duration (s)</t>
  </si>
  <si>
    <t>Average (MB/s)</t>
  </si>
  <si>
    <t>Min (MB/s)</t>
  </si>
  <si>
    <t>Max (MB/s)</t>
  </si>
  <si>
    <t>Std Dev</t>
  </si>
  <si>
    <t>Result</t>
  </si>
  <si>
    <t>Failure Reason</t>
  </si>
  <si>
    <t>Time</t>
  </si>
  <si>
    <t>USB Share</t>
  </si>
  <si>
    <t>SSID</t>
  </si>
  <si>
    <t>Actual Band</t>
  </si>
  <si>
    <t>Channel</t>
  </si>
  <si>
    <t>Signal</t>
  </si>
  <si>
    <t>BSSID</t>
  </si>
  <si>
    <t>Client IP</t>
  </si>
  <si>
    <t>Gateway IP</t>
  </si>
  <si>
    <t>File Check</t>
  </si>
  <si>
    <t>File Set</t>
  </si>
  <si>
    <t>Detected USB Format</t>
  </si>
  <si>
    <t>DUT Model</t>
  </si>
  <si>
    <t>DUT Name</t>
  </si>
  <si>
    <t>Firmware</t>
  </si>
  <si>
    <t>HW Version</t>
  </si>
  <si>
    <t>Topology</t>
  </si>
  <si>
    <t>Client Type</t>
  </si>
  <si>
    <t>Client OS</t>
  </si>
  <si>
    <t>Project</t>
  </si>
  <si>
    <t>Interface Matched</t>
  </si>
  <si>
    <t>Role Assumed</t>
  </si>
  <si>
    <t>DUT Reachable</t>
  </si>
  <si>
    <t>Share Writable</t>
  </si>
  <si>
    <t>ANALYSIS — THE NUMBERS BEHIND THE CHARTS</t>
  </si>
  <si>
    <t>Every value is a formula reading the Results sheet. Change a label in the first column to analyse a different value.</t>
  </si>
  <si>
    <t>BY INTERFACE — wired port speed or wireless band</t>
  </si>
  <si>
    <t>Rounds Run</t>
  </si>
  <si>
    <t>Passed</t>
  </si>
  <si>
    <t>Failed</t>
  </si>
  <si>
    <t>Skipped</t>
  </si>
  <si>
    <t>Pass Rate</t>
  </si>
  <si>
    <t>Avg Read (MB/s)</t>
  </si>
  <si>
    <t>Avg Write (MB/s)</t>
  </si>
  <si>
    <t>1Gbps</t>
  </si>
  <si>
    <t>2.5Gbps</t>
  </si>
  <si>
    <t>10Gbps</t>
  </si>
  <si>
    <t>SFP Port</t>
  </si>
  <si>
    <t>2.4GHz</t>
  </si>
  <si>
    <t>5GHz</t>
  </si>
  <si>
    <t>6GHz</t>
  </si>
  <si>
    <t>MLO</t>
  </si>
  <si>
    <t>BY USB FORMAT — file system on the drive</t>
  </si>
  <si>
    <t>FAT32</t>
  </si>
  <si>
    <t>NTFS</t>
  </si>
  <si>
    <t>exFAT</t>
  </si>
  <si>
    <t>HFS+</t>
  </si>
  <si>
    <t>EXT4</t>
  </si>
  <si>
    <t>BY FILE — transfer size</t>
  </si>
  <si>
    <t>small_1mb.bin</t>
  </si>
  <si>
    <t>1 MB</t>
  </si>
  <si>
    <t>document_10mb.bin</t>
  </si>
  <si>
    <t>10 MB</t>
  </si>
  <si>
    <t>image_50mb.bin</t>
  </si>
  <si>
    <t>50 MB</t>
  </si>
  <si>
    <t>video_100mb.bin</t>
  </si>
  <si>
    <t>100 MB</t>
  </si>
  <si>
    <t>large_500mb.bin</t>
  </si>
  <si>
    <t>500 MB</t>
  </si>
  <si>
    <t>Chart Label</t>
  </si>
  <si>
    <t>BY DUT ROLE — Router vs Extender</t>
  </si>
  <si>
    <t>Router</t>
  </si>
  <si>
    <t>Extender</t>
  </si>
  <si>
    <t>BY CONNECTION — wired vs wireless</t>
  </si>
  <si>
    <t>wired</t>
  </si>
  <si>
    <t>wireless</t>
  </si>
  <si>
    <t>OUTCOME — every round that was planned</t>
  </si>
  <si>
    <t>Outcome</t>
  </si>
  <si>
    <t>Rounds</t>
  </si>
  <si>
    <t>PER ROUND — average across every file, interface and format</t>
  </si>
  <si>
    <t>#</t>
  </si>
  <si>
    <t>Round 1</t>
  </si>
  <si>
    <t>Round 2</t>
  </si>
  <si>
    <t>Round 3</t>
  </si>
  <si>
    <t>FAILED, SKIPPED AND ABNORMAL CASES</t>
  </si>
  <si>
    <t>List failed, skipped or abnormal rounds here (or filter the Results sheet by Result).</t>
  </si>
  <si>
    <t>Reason</t>
  </si>
  <si>
    <t>NOTES — HOW TO READ THIS WORKBOOK</t>
  </si>
  <si>
    <t>USING THIS TEMPLATE</t>
  </si>
  <si>
    <t>1. Results sheet</t>
  </si>
  <si>
    <t>Enter one row per test round (one file, one direction, one round). Fill in the columns up to 'Failure Reason'; the grouped columns after it (time, SSID, firmware...) are optional traceability data.</t>
  </si>
  <si>
    <t>2. Summary sheet</t>
  </si>
  <si>
    <t>Fill in the yellow cells: project, date, topology, client and devices under test. The totals, tiles and charts update by themselves from the Results sheet.</t>
  </si>
  <si>
    <t>3. Analysis sheet</t>
  </si>
  <si>
    <t>The label in the first column of each table (e.g. '5GHz', 'NTFS') is what gets counted. Change or add labels there if your test uses different interfaces, formats or files.</t>
  </si>
  <si>
    <t>4. Result column</t>
  </si>
  <si>
    <t>Use PASS, PERF_FAIL, ERROR or SKIPPED. Skipped rounds are counted separately, never as zero speed.</t>
  </si>
  <si>
    <t>5. Issues sheet</t>
  </si>
  <si>
    <t>Copy failed, skipped or abnormal rounds here, or filter the Results sheet by Result.</t>
  </si>
  <si>
    <t>SHEETS</t>
  </si>
  <si>
    <t>Summary</t>
  </si>
  <si>
    <t>One-page dashboard: overall result, headline numbers, charts, test environment and devices under test.</t>
  </si>
  <si>
    <t>Results</t>
  </si>
  <si>
    <t>Every test round, one per row, with filters. Rows are tinted by outcome and the bar in the throughput column shows speed at a glance.</t>
  </si>
  <si>
    <t>Issues</t>
  </si>
  <si>
    <t>Only the rounds that failed, were skipped or looked abnormal, with the reason.</t>
  </si>
  <si>
    <t>Analysis</t>
  </si>
  <si>
    <t>The tables behind the charts: averages, pass rates and counts by interface, USB format, file, role and connection.</t>
  </si>
  <si>
    <t>RESULT CODES</t>
  </si>
  <si>
    <t>PASS</t>
  </si>
  <si>
    <t>The round ran and met the throughput threshold.</t>
  </si>
  <si>
    <t>PERF_FAIL</t>
  </si>
  <si>
    <t>The round ran but was slower than the threshold.</t>
  </si>
  <si>
    <t>ERROR</t>
  </si>
  <si>
    <t>The round could not complete (timeout, share error, no space...). The reason is in 'Failure Reason'.</t>
  </si>
  <si>
    <t>SKIPPED</t>
  </si>
  <si>
    <t>Not tested at all (a band couldn't be joined, or the USB share wasn't reachable). Never counted as 0 MB/s.</t>
  </si>
  <si>
    <t>HOW THE NUMBERS WORK</t>
  </si>
  <si>
    <t>Overall result</t>
  </si>
  <si>
    <t>FAIL if any round failed or errored. INCOMPLETE if nothing failed but something was skipped. PASS otherwise.</t>
  </si>
  <si>
    <t>Averages</t>
  </si>
  <si>
    <t>Read and write averages only include rounds that actually ran; skipped and errored rounds are left out.</t>
  </si>
  <si>
    <t>Pass rate</t>
  </si>
  <si>
    <t>Passed rounds divided by rounds that ran.</t>
  </si>
  <si>
    <t>Thresholds</t>
  </si>
  <si>
    <t>Each round is judged against the pass thresholds listed on the Summary sheet. Very small files finish so quickly that connection overhead dominates, so they miss speed thresholds more often than large files.</t>
  </si>
  <si>
    <t>Generated 2026-10-06 19:45 by the USB Performance Automation Tool</t>
  </si>
  <si>
    <t>USB PERFORMANCE TEST REPORT  —  BLANK TEMPLATE</t>
  </si>
  <si>
    <t>Project: ______________________      Date: ______________</t>
  </si>
  <si>
    <t>Device under test: model, name and firmware — fill in the Devices Under Test table below.</t>
  </si>
  <si>
    <t>OVERALL RESULT</t>
  </si>
  <si>
    <t>ROUNDS RUN</t>
  </si>
  <si>
    <t>PASSED</t>
  </si>
  <si>
    <t>FAILED</t>
  </si>
  <si>
    <t>PASS RATE</t>
  </si>
  <si>
    <t>AVG READ</t>
  </si>
  <si>
    <t>AVG WRITE</t>
  </si>
  <si>
    <t>PEAK READ</t>
  </si>
  <si>
    <t>PEAK WRITE</t>
  </si>
  <si>
    <t>TEST ENVIRONMENT</t>
  </si>
  <si>
    <t>Client</t>
  </si>
  <si>
    <t>Test date</t>
  </si>
  <si>
    <t>Rounds per case</t>
  </si>
  <si>
    <t>Interfaces tested</t>
  </si>
  <si>
    <t>PC network link</t>
  </si>
  <si>
    <t>Log file</t>
  </si>
  <si>
    <t>Test file set</t>
  </si>
  <si>
    <t>Pass thresholds</t>
  </si>
  <si>
    <t>DEVICES UNDER TEST</t>
  </si>
  <si>
    <t>Role</t>
  </si>
  <si>
    <t>Name</t>
  </si>
  <si>
    <t>Model</t>
  </si>
</sst>
</file>

<file path=xl/styles.xml><?xml version="1.0" encoding="utf-8"?>
<styleSheet xmlns="http://schemas.openxmlformats.org/spreadsheetml/2006/main">
  <numFmts count="3">
    <numFmt numFmtId="164" formatCode="0%"/>
    <numFmt numFmtId="165" formatCode="0.0 &quot;MB/s&quot;"/>
    <numFmt numFmtId="166" formatCode="0.00"/>
  </numFmts>
  <fonts count="25">
    <font>
      <sz val="11"/>
      <color theme="1"/>
      <name val="Calibri"/>
      <family val="2"/>
      <scheme val="minor"/>
    </font>
    <font>
      <b/>
      <sz val="20"/>
      <color rgb="FFFFFFFF"/>
      <name val="Calibri"/>
      <family val="2"/>
      <scheme val="minor"/>
    </font>
    <font>
      <sz val="11"/>
      <color rgb="FFFFFFFF"/>
      <name val="Calibri"/>
      <family val="2"/>
      <scheme val="minor"/>
    </font>
    <font>
      <i/>
      <sz val="10"/>
      <color rgb="FFFFFFFF"/>
      <name val="Calibri"/>
      <family val="2"/>
      <scheme val="minor"/>
    </font>
    <font>
      <b/>
      <sz val="9"/>
      <color rgb="FF7F7F7F"/>
      <name val="Calibri"/>
      <family val="2"/>
      <scheme val="minor"/>
    </font>
    <font>
      <b/>
      <sz val="20"/>
      <color rgb="FF0B1F3A"/>
      <name val="Calibri"/>
      <family val="2"/>
      <scheme val="minor"/>
    </font>
    <font>
      <b/>
      <sz val="20"/>
      <color rgb="FF548235"/>
      <name val="Calibri"/>
      <family val="2"/>
      <scheme val="minor"/>
    </font>
    <font>
      <b/>
      <sz val="20"/>
      <color rgb="FFC00000"/>
      <name val="Calibri"/>
      <family val="2"/>
      <scheme val="minor"/>
    </font>
    <font>
      <b/>
      <sz val="20"/>
      <color rgb="FFBF8F00"/>
      <name val="Calibri"/>
      <family val="2"/>
      <scheme val="minor"/>
    </font>
    <font>
      <b/>
      <sz val="20"/>
      <color rgb="FF1F3F73"/>
      <name val="Calibri"/>
      <family val="2"/>
      <scheme val="minor"/>
    </font>
    <font>
      <b/>
      <sz val="20"/>
      <color rgb="FFC9A227"/>
      <name val="Calibri"/>
      <family val="2"/>
      <scheme val="minor"/>
    </font>
    <font>
      <b/>
      <sz val="11"/>
      <color rgb="FF0B1F3A"/>
      <name val="Calibri"/>
      <family val="2"/>
      <scheme val="minor"/>
    </font>
    <font>
      <b/>
      <sz val="10"/>
      <color rgb="FF7F7F7F"/>
      <name val="Calibri"/>
      <family val="2"/>
      <scheme val="minor"/>
    </font>
    <font>
      <sz val="10"/>
      <color theme="1"/>
      <name val="Calibri"/>
      <family val="2"/>
      <scheme val="minor"/>
    </font>
    <font>
      <b/>
      <sz val="10"/>
      <color rgb="FFFFFFFF"/>
      <name val="Calibri"/>
      <family val="2"/>
      <scheme val="minor"/>
    </font>
    <font>
      <b/>
      <sz val="14"/>
      <color rgb="FFFFFFFF"/>
      <name val="Calibri"/>
      <family val="2"/>
      <scheme val="minor"/>
    </font>
    <font>
      <i/>
      <sz val="10"/>
      <color rgb="FF7F7F7F"/>
      <name val="Calibri"/>
      <family val="2"/>
      <scheme val="minor"/>
    </font>
    <font>
      <b/>
      <sz val="9"/>
      <color rgb="FF0B1F3A"/>
      <name val="Calibri"/>
      <family val="2"/>
      <scheme val="minor"/>
    </font>
    <font>
      <b/>
      <sz val="9"/>
      <color rgb="FF6B5412"/>
      <name val="Calibri"/>
      <family val="2"/>
      <scheme val="minor"/>
    </font>
    <font>
      <b/>
      <sz val="9"/>
      <color rgb="FF5A3E1B"/>
      <name val="Calibri"/>
      <family val="2"/>
      <scheme val="minor"/>
    </font>
    <font>
      <b/>
      <sz val="10"/>
      <color theme="1"/>
      <name val="Calibri"/>
      <family val="2"/>
      <scheme val="minor"/>
    </font>
    <font>
      <sz val="10"/>
      <color rgb="FF7F7F7F"/>
      <name val="Calibri"/>
      <family val="2"/>
      <scheme val="minor"/>
    </font>
    <font>
      <b/>
      <sz val="10"/>
      <color rgb="FF006100"/>
      <name val="Calibri"/>
      <family val="2"/>
      <scheme val="minor"/>
    </font>
    <font>
      <b/>
      <sz val="10"/>
      <color rgb="FF9C0006"/>
      <name val="Calibri"/>
      <family val="2"/>
      <scheme val="minor"/>
    </font>
    <font>
      <b/>
      <sz val="10"/>
      <color rgb="FF7F6000"/>
      <name val="Calibri"/>
      <family val="2"/>
      <scheme val="minor"/>
    </font>
  </fonts>
  <fills count="12">
    <fill>
      <patternFill patternType="none"/>
    </fill>
    <fill>
      <patternFill patternType="gray125"/>
    </fill>
    <fill>
      <patternFill patternType="solid">
        <fgColor rgb="FF0B1F3A"/>
        <bgColor indexed="64"/>
      </patternFill>
    </fill>
    <fill>
      <patternFill patternType="solid">
        <fgColor rgb="FF1F3F73"/>
        <bgColor indexed="64"/>
      </patternFill>
    </fill>
    <fill>
      <patternFill patternType="solid">
        <fgColor rgb="FFF6F3EA"/>
        <bgColor indexed="64"/>
      </patternFill>
    </fill>
    <fill>
      <patternFill patternType="solid">
        <fgColor rgb="FFFFF9E5"/>
        <bgColor indexed="64"/>
      </patternFill>
    </fill>
    <fill>
      <patternFill patternType="solid">
        <fgColor rgb="FFDFE5F0"/>
        <bgColor indexed="64"/>
      </patternFill>
    </fill>
    <fill>
      <patternFill patternType="solid">
        <fgColor rgb="FFF3EAC8"/>
        <bgColor indexed="64"/>
      </patternFill>
    </fill>
    <fill>
      <patternFill patternType="solid">
        <fgColor rgb="FFE8DFCF"/>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10">
    <border>
      <left/>
      <right/>
      <top/>
      <bottom/>
      <diagonal/>
    </border>
    <border>
      <left/>
      <right/>
      <top/>
      <bottom style="thick">
        <color rgb="FF0B1F3A"/>
      </bottom>
      <diagonal/>
    </border>
    <border>
      <left/>
      <right/>
      <top/>
      <bottom style="thick">
        <color rgb="FF70AD47"/>
      </bottom>
      <diagonal/>
    </border>
    <border>
      <left/>
      <right/>
      <top/>
      <bottom style="thick">
        <color rgb="FFE15759"/>
      </bottom>
      <diagonal/>
    </border>
    <border>
      <left/>
      <right/>
      <top/>
      <bottom style="thick">
        <color rgb="FFFFC000"/>
      </bottom>
      <diagonal/>
    </border>
    <border>
      <left/>
      <right/>
      <top/>
      <bottom style="thick">
        <color rgb="FF1F3F73"/>
      </bottom>
      <diagonal/>
    </border>
    <border>
      <left/>
      <right/>
      <top/>
      <bottom style="thick">
        <color rgb="FFC9A227"/>
      </bottom>
      <diagonal/>
    </border>
    <border>
      <left/>
      <right/>
      <top/>
      <bottom style="medium">
        <color rgb="FF0B1F3A"/>
      </bottom>
      <diagonal/>
    </border>
    <border>
      <left style="thin">
        <color rgb="FFE6D9A8"/>
      </left>
      <right style="thin">
        <color rgb="FFE6D9A8"/>
      </right>
      <top style="thin">
        <color rgb="FFE6D9A8"/>
      </top>
      <bottom style="thin">
        <color rgb="FFE6D9A8"/>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left" vertical="center" indent="1"/>
    </xf>
    <xf numFmtId="0" fontId="4" fillId="4" borderId="0" xfId="0" applyFont="1" applyFill="1" applyAlignment="1">
      <alignment horizontal="center" vertical="center"/>
    </xf>
    <xf numFmtId="0" fontId="5" fillId="4" borderId="1" xfId="0" applyFont="1" applyFill="1" applyBorder="1" applyAlignment="1">
      <alignment horizontal="center" vertical="center"/>
    </xf>
    <xf numFmtId="1" fontId="5" fillId="4" borderId="1" xfId="0" applyNumberFormat="1" applyFont="1" applyFill="1" applyBorder="1" applyAlignment="1">
      <alignment horizontal="center" vertical="center"/>
    </xf>
    <xf numFmtId="1" fontId="6" fillId="4" borderId="2" xfId="0" applyNumberFormat="1" applyFont="1" applyFill="1" applyBorder="1" applyAlignment="1">
      <alignment horizontal="center" vertical="center"/>
    </xf>
    <xf numFmtId="1" fontId="7" fillId="4" borderId="3" xfId="0" applyNumberFormat="1" applyFont="1" applyFill="1" applyBorder="1" applyAlignment="1">
      <alignment horizontal="center" vertical="center"/>
    </xf>
    <xf numFmtId="1" fontId="8" fillId="4" borderId="4"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165" fontId="9" fillId="4" borderId="5" xfId="0" applyNumberFormat="1" applyFont="1" applyFill="1" applyBorder="1" applyAlignment="1">
      <alignment horizontal="center" vertical="center"/>
    </xf>
    <xf numFmtId="165" fontId="10" fillId="4" borderId="6" xfId="0" applyNumberFormat="1" applyFont="1" applyFill="1" applyBorder="1" applyAlignment="1">
      <alignment horizontal="center" vertical="center"/>
    </xf>
    <xf numFmtId="0" fontId="11" fillId="0" borderId="7" xfId="0" applyFont="1" applyBorder="1" applyAlignment="1">
      <alignment vertical="center"/>
    </xf>
    <xf numFmtId="0" fontId="12" fillId="4" borderId="0" xfId="0" applyFont="1" applyFill="1" applyAlignment="1">
      <alignment horizontal="left" vertical="center" indent="1"/>
    </xf>
    <xf numFmtId="0" fontId="13" fillId="5" borderId="8" xfId="0" applyFont="1" applyFill="1" applyBorder="1" applyAlignment="1">
      <alignment horizontal="left" vertical="center" indent="1"/>
    </xf>
    <xf numFmtId="0" fontId="14" fillId="2" borderId="9" xfId="0" applyFont="1" applyFill="1" applyBorder="1" applyAlignment="1">
      <alignment horizontal="center" vertical="center"/>
    </xf>
    <xf numFmtId="0" fontId="15" fillId="2" borderId="0" xfId="0" applyFont="1" applyFill="1" applyAlignment="1">
      <alignment horizontal="left" vertical="center" indent="1"/>
    </xf>
    <xf numFmtId="0" fontId="16" fillId="0" borderId="0" xfId="0" applyFont="1" applyAlignment="1">
      <alignment horizontal="left" vertical="center" indent="1"/>
    </xf>
    <xf numFmtId="0" fontId="17" fillId="6" borderId="9" xfId="0" applyFont="1" applyFill="1" applyBorder="1" applyAlignment="1">
      <alignment horizontal="center" vertical="center"/>
    </xf>
    <xf numFmtId="0" fontId="18" fillId="7" borderId="9" xfId="0" applyFont="1" applyFill="1" applyBorder="1" applyAlignment="1">
      <alignment horizontal="center" vertical="center"/>
    </xf>
    <xf numFmtId="0" fontId="19" fillId="8" borderId="9" xfId="0" applyFont="1" applyFill="1" applyBorder="1" applyAlignment="1">
      <alignment horizontal="center" vertical="center"/>
    </xf>
    <xf numFmtId="0" fontId="14" fillId="2" borderId="9" xfId="0" applyFont="1" applyFill="1" applyBorder="1" applyAlignment="1">
      <alignment horizontal="center" vertical="center" wrapText="1"/>
    </xf>
    <xf numFmtId="0" fontId="20" fillId="0" borderId="0" xfId="0" applyFont="1" applyAlignment="1">
      <alignment horizontal="left" vertical="center" indent="1"/>
    </xf>
    <xf numFmtId="1" fontId="13" fillId="0" borderId="0" xfId="0" applyNumberFormat="1" applyFont="1" applyAlignment="1">
      <alignment horizontal="center" vertical="center"/>
    </xf>
    <xf numFmtId="164" fontId="13" fillId="0" borderId="0" xfId="0" applyNumberFormat="1" applyFont="1" applyAlignment="1">
      <alignment horizontal="center" vertical="center"/>
    </xf>
    <xf numFmtId="166" fontId="13" fillId="0" borderId="0" xfId="0" applyNumberFormat="1" applyFont="1" applyAlignment="1">
      <alignment horizontal="center" vertical="center"/>
    </xf>
    <xf numFmtId="0" fontId="16" fillId="0" borderId="0" xfId="0" applyFont="1" applyAlignment="1">
      <alignment horizontal="center" vertical="center"/>
    </xf>
    <xf numFmtId="0" fontId="21" fillId="0" borderId="0" xfId="0" applyFont="1" applyAlignment="1">
      <alignment horizontal="center" vertical="center"/>
    </xf>
    <xf numFmtId="0" fontId="20" fillId="0" borderId="0" xfId="0" applyFont="1" applyAlignment="1">
      <alignment vertical="top" indent="1"/>
    </xf>
    <xf numFmtId="0" fontId="13" fillId="0" borderId="0" xfId="0" applyFont="1" applyAlignment="1">
      <alignment vertical="top" wrapText="1"/>
    </xf>
    <xf numFmtId="0" fontId="22" fillId="9" borderId="0" xfId="0" applyFont="1" applyFill="1" applyAlignment="1">
      <alignment vertical="top" indent="1"/>
    </xf>
    <xf numFmtId="0" fontId="23" fillId="10" borderId="0" xfId="0" applyFont="1" applyFill="1" applyAlignment="1">
      <alignment vertical="top" indent="1"/>
    </xf>
    <xf numFmtId="0" fontId="24" fillId="11" borderId="0" xfId="0" applyFont="1" applyFill="1" applyAlignment="1">
      <alignment vertical="top" indent="1"/>
    </xf>
  </cellXfs>
  <cellStyles count="1">
    <cellStyle name="Normal" xfId="0" builtinId="0"/>
  </cellStyles>
  <dxfs count="16">
    <dxf>
      <border>
        <left/>
        <right/>
        <top/>
        <bottom style="thin">
          <color rgb="FFE7E6E6"/>
        </bottom>
        <vertical/>
        <horizontal/>
      </border>
    </dxf>
    <dxf>
      <border>
        <left/>
        <right/>
        <top/>
        <bottom style="thin">
          <color rgb="FFE7E6E6"/>
        </bottom>
        <vertical/>
        <horizontal/>
      </border>
    </dxf>
    <dxf>
      <numFmt numFmtId="1" formatCode="0"/>
      <border>
        <left/>
        <right/>
        <top/>
        <bottom style="thin">
          <color rgb="FFE7E6E6"/>
        </bottom>
        <vertical/>
        <horizontal/>
      </border>
    </dxf>
    <dxf>
      <numFmt numFmtId="166" formatCode="0.00"/>
      <border>
        <left/>
        <right/>
        <top/>
        <bottom style="thin">
          <color rgb="FFE7E6E6"/>
        </bottom>
        <vertical/>
        <horizontal/>
      </border>
    </dxf>
    <dxf>
      <numFmt numFmtId="167" formatCode="0.000"/>
      <border>
        <left/>
        <right/>
        <top/>
        <bottom style="thin">
          <color rgb="FFE7E6E6"/>
        </bottom>
        <vertical/>
        <horizontal/>
      </border>
    </dxf>
    <dxf>
      <border>
        <left/>
        <right/>
        <top/>
        <bottom style="thin">
          <color rgb="FFE7E6E6"/>
        </bottom>
        <vertical/>
        <horizontal/>
      </border>
    </dxf>
    <dxf>
      <numFmt numFmtId="168" formatCode="yyyy-mm-dd hh:mm:ss"/>
      <border>
        <left/>
        <right/>
        <top/>
        <bottom style="thin">
          <color rgb="FFE7E6E6"/>
        </bottom>
        <vertical/>
        <horizontal/>
      </border>
    </dxf>
    <dxf>
      <fill>
        <patternFill>
          <bgColor rgb="FFFDECEA"/>
        </patternFill>
      </fill>
    </dxf>
    <dxf>
      <fill>
        <patternFill>
          <bgColor rgb="FFFFF8E1"/>
        </patternFill>
      </fill>
    </dxf>
    <dxf>
      <font>
        <b/>
        <color rgb="FF006100"/>
      </font>
      <fill>
        <patternFill>
          <bgColor rgb="FFC6EFCE"/>
        </patternFill>
      </fill>
    </dxf>
    <dxf>
      <font>
        <b/>
        <color rgb="FF9C0006"/>
      </font>
      <fill>
        <patternFill>
          <bgColor rgb="FFFFC7CE"/>
        </patternFill>
      </fill>
    </dxf>
    <dxf>
      <font>
        <b/>
        <color rgb="FF7F6000"/>
      </font>
      <fill>
        <patternFill>
          <bgColor rgb="FFFFEB9C"/>
        </patternFill>
      </fill>
    </dxf>
    <dxf>
      <fill>
        <patternFill>
          <bgColor rgb="FFF7F5EE"/>
        </patternFill>
      </fill>
    </dxf>
    <dxf>
      <font>
        <color rgb="FF006100"/>
      </font>
      <fill>
        <patternFill>
          <bgColor rgb="FFC6EFCE"/>
        </patternFill>
      </fill>
    </dxf>
    <dxf>
      <font>
        <color rgb="FF9C0006"/>
      </font>
      <fill>
        <patternFill>
          <bgColor rgb="FFFFC7CE"/>
        </patternFill>
      </fill>
    </dxf>
    <dxf>
      <font>
        <color rgb="FF7F6000"/>
      </font>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by Interface</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Analysis!$A$6:$A$13</c:f>
              <c:strCache>
                <c:ptCount val="8"/>
                <c:pt idx="0">
                  <c:v>1Gbps</c:v>
                </c:pt>
                <c:pt idx="1">
                  <c:v>2.5Gbps</c:v>
                </c:pt>
                <c:pt idx="2">
                  <c:v>10Gbps</c:v>
                </c:pt>
                <c:pt idx="3">
                  <c:v>SFP Port</c:v>
                </c:pt>
                <c:pt idx="4">
                  <c:v>2.4GHz</c:v>
                </c:pt>
                <c:pt idx="5">
                  <c:v>5GHz</c:v>
                </c:pt>
                <c:pt idx="6">
                  <c:v>6GHz</c:v>
                </c:pt>
                <c:pt idx="7">
                  <c:v>MLO</c:v>
                </c:pt>
              </c:strCache>
            </c:strRef>
          </c:cat>
          <c:val>
            <c:numRef>
              <c:f>Analysis!$G$6:$G$13</c:f>
              <c:numCache>
                <c:formatCode>General</c:formatCode>
                <c:ptCount val="8"/>
                <c:pt idx="0">
                  <c:v>0</c:v>
                </c:pt>
                <c:pt idx="1">
                  <c:v>0</c:v>
                </c:pt>
                <c:pt idx="2">
                  <c:v>0</c:v>
                </c:pt>
                <c:pt idx="3">
                  <c:v>0</c:v>
                </c:pt>
                <c:pt idx="4">
                  <c:v>0</c:v>
                </c:pt>
                <c:pt idx="5">
                  <c:v>0</c:v>
                </c:pt>
                <c:pt idx="6">
                  <c:v>0</c:v>
                </c:pt>
                <c:pt idx="7">
                  <c:v>0</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Analysis!$A$6:$A$13</c:f>
              <c:strCache>
                <c:ptCount val="8"/>
                <c:pt idx="0">
                  <c:v>1Gbps</c:v>
                </c:pt>
                <c:pt idx="1">
                  <c:v>2.5Gbps</c:v>
                </c:pt>
                <c:pt idx="2">
                  <c:v>10Gbps</c:v>
                </c:pt>
                <c:pt idx="3">
                  <c:v>SFP Port</c:v>
                </c:pt>
                <c:pt idx="4">
                  <c:v>2.4GHz</c:v>
                </c:pt>
                <c:pt idx="5">
                  <c:v>5GHz</c:v>
                </c:pt>
                <c:pt idx="6">
                  <c:v>6GHz</c:v>
                </c:pt>
                <c:pt idx="7">
                  <c:v>MLO</c:v>
                </c:pt>
              </c:strCache>
            </c:strRef>
          </c:cat>
          <c:val>
            <c:numRef>
              <c:f>Analysis!$H$6:$H$13</c:f>
              <c:numCache>
                <c:formatCode>General</c:formatCode>
                <c:ptCount val="8"/>
                <c:pt idx="0">
                  <c:v>0</c:v>
                </c:pt>
                <c:pt idx="1">
                  <c:v>0</c:v>
                </c:pt>
                <c:pt idx="2">
                  <c:v>0</c:v>
                </c:pt>
                <c:pt idx="3">
                  <c:v>0</c:v>
                </c:pt>
                <c:pt idx="4">
                  <c:v>0</c:v>
                </c:pt>
                <c:pt idx="5">
                  <c:v>0</c:v>
                </c:pt>
                <c:pt idx="6">
                  <c:v>0</c:v>
                </c:pt>
                <c:pt idx="7">
                  <c:v>0</c:v>
                </c:pt>
              </c:numCache>
            </c:numRef>
          </c:val>
        </c:ser>
        <c:gapWidth val="70"/>
        <c:overlap val="-5"/>
        <c:axId val="50010001"/>
        <c:axId val="50010002"/>
      </c:barChart>
      <c:catAx>
        <c:axId val="5001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10002"/>
        <c:crosses val="autoZero"/>
        <c:auto val="1"/>
        <c:lblAlgn val="ctr"/>
        <c:lblOffset val="100"/>
      </c:catAx>
      <c:valAx>
        <c:axId val="5001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lt;1]0.0;0" sourceLinked="0"/>
        <c:tickLblPos val="nextTo"/>
        <c:spPr>
          <a:ln>
            <a:noFill/>
          </a:ln>
        </c:spPr>
        <c:txPr>
          <a:bodyPr/>
          <a:lstStyle/>
          <a:p>
            <a:pPr>
              <a:defRPr sz="900" baseline="0">
                <a:latin typeface="Calibri"/>
              </a:defRPr>
            </a:pPr>
            <a:endParaRPr lang="en-US"/>
          </a:p>
        </c:txPr>
        <c:crossAx val="5001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by USB Format</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Analysis!$A$18:$A$22</c:f>
              <c:strCache>
                <c:ptCount val="5"/>
                <c:pt idx="0">
                  <c:v>FAT32</c:v>
                </c:pt>
                <c:pt idx="1">
                  <c:v>NTFS</c:v>
                </c:pt>
                <c:pt idx="2">
                  <c:v>exFAT</c:v>
                </c:pt>
                <c:pt idx="3">
                  <c:v>HFS+</c:v>
                </c:pt>
                <c:pt idx="4">
                  <c:v>EXT4</c:v>
                </c:pt>
              </c:strCache>
            </c:strRef>
          </c:cat>
          <c:val>
            <c:numRef>
              <c:f>Analysis!$G$18:$G$22</c:f>
              <c:numCache>
                <c:formatCode>General</c:formatCode>
                <c:ptCount val="5"/>
                <c:pt idx="0">
                  <c:v>0</c:v>
                </c:pt>
                <c:pt idx="1">
                  <c:v>0</c:v>
                </c:pt>
                <c:pt idx="2">
                  <c:v>0</c:v>
                </c:pt>
                <c:pt idx="3">
                  <c:v>0</c:v>
                </c:pt>
                <c:pt idx="4">
                  <c:v>0</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Analysis!$A$18:$A$22</c:f>
              <c:strCache>
                <c:ptCount val="5"/>
                <c:pt idx="0">
                  <c:v>FAT32</c:v>
                </c:pt>
                <c:pt idx="1">
                  <c:v>NTFS</c:v>
                </c:pt>
                <c:pt idx="2">
                  <c:v>exFAT</c:v>
                </c:pt>
                <c:pt idx="3">
                  <c:v>HFS+</c:v>
                </c:pt>
                <c:pt idx="4">
                  <c:v>EXT4</c:v>
                </c:pt>
              </c:strCache>
            </c:strRef>
          </c:cat>
          <c:val>
            <c:numRef>
              <c:f>Analysis!$H$18:$H$22</c:f>
              <c:numCache>
                <c:formatCode>General</c:formatCode>
                <c:ptCount val="5"/>
                <c:pt idx="0">
                  <c:v>0</c:v>
                </c:pt>
                <c:pt idx="1">
                  <c:v>0</c:v>
                </c:pt>
                <c:pt idx="2">
                  <c:v>0</c:v>
                </c:pt>
                <c:pt idx="3">
                  <c:v>0</c:v>
                </c:pt>
                <c:pt idx="4">
                  <c:v>0</c:v>
                </c:pt>
              </c:numCache>
            </c:numRef>
          </c:val>
        </c:ser>
        <c:gapWidth val="70"/>
        <c:overlap val="-5"/>
        <c:axId val="50020001"/>
        <c:axId val="50020002"/>
      </c:barChart>
      <c:catAx>
        <c:axId val="5002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20002"/>
        <c:crosses val="autoZero"/>
        <c:auto val="1"/>
        <c:lblAlgn val="ctr"/>
        <c:lblOffset val="100"/>
      </c:catAx>
      <c:valAx>
        <c:axId val="5002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lt;1]0.0;0" sourceLinked="0"/>
        <c:tickLblPos val="nextTo"/>
        <c:spPr>
          <a:ln>
            <a:noFill/>
          </a:ln>
        </c:spPr>
        <c:txPr>
          <a:bodyPr/>
          <a:lstStyle/>
          <a:p>
            <a:pPr>
              <a:defRPr sz="900" baseline="0">
                <a:latin typeface="Calibri"/>
              </a:defRPr>
            </a:pPr>
            <a:endParaRPr lang="en-US"/>
          </a:p>
        </c:txPr>
        <c:crossAx val="5002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Test Outcome (rounds)</a:t>
            </a:r>
          </a:p>
        </c:rich>
      </c:tx>
      <c:layout/>
    </c:title>
    <c:plotArea>
      <c:layout/>
      <c:doughnutChart>
        <c:varyColors val="1"/>
        <c:ser>
          <c:idx val="0"/>
          <c:order val="0"/>
          <c:tx>
            <c:v>Outcome</c:v>
          </c:tx>
          <c:dPt>
            <c:idx val="0"/>
            <c:spPr>
              <a:solidFill>
                <a:srgbClr val="70AD47"/>
              </a:solidFill>
              <a:ln w="19050">
                <a:solidFill>
                  <a:srgbClr val="FFFFFF"/>
                </a:solidFill>
              </a:ln>
            </c:spPr>
          </c:dPt>
          <c:dPt>
            <c:idx val="1"/>
            <c:spPr>
              <a:solidFill>
                <a:srgbClr val="E15759"/>
              </a:solidFill>
              <a:ln w="19050">
                <a:solidFill>
                  <a:srgbClr val="FFFFFF"/>
                </a:solidFill>
              </a:ln>
            </c:spPr>
          </c:dPt>
          <c:dPt>
            <c:idx val="2"/>
            <c:spPr>
              <a:solidFill>
                <a:srgbClr val="FFC000"/>
              </a:solidFill>
              <a:ln w="19050">
                <a:solidFill>
                  <a:srgbClr val="FFFFFF"/>
                </a:solidFill>
              </a:ln>
            </c:spPr>
          </c:dPt>
          <c:dLbls>
            <c:numFmt formatCode="0;;;" sourceLinked="0"/>
            <c:txPr>
              <a:bodyPr/>
              <a:lstStyle/>
              <a:p>
                <a:pPr>
                  <a:defRPr sz="1200" b="1" baseline="0">
                    <a:solidFill>
                      <a:srgbClr val="1F1F1F"/>
                    </a:solidFill>
                    <a:latin typeface="Calibri"/>
                  </a:defRPr>
                </a:pPr>
                <a:endParaRPr lang="en-US"/>
              </a:p>
            </c:txPr>
            <c:showVal val="1"/>
          </c:dLbls>
          <c:cat>
            <c:strRef>
              <c:f>Analysis!$A$48:$A$50</c:f>
              <c:strCache>
                <c:ptCount val="3"/>
                <c:pt idx="0">
                  <c:v>Passed</c:v>
                </c:pt>
                <c:pt idx="1">
                  <c:v>Failed</c:v>
                </c:pt>
                <c:pt idx="2">
                  <c:v>Skipped</c:v>
                </c:pt>
              </c:strCache>
            </c:strRef>
          </c:cat>
          <c:val>
            <c:numRef>
              <c:f>Analysis!$B$48:$B$50</c:f>
              <c:numCache>
                <c:formatCode>General</c:formatCode>
                <c:ptCount val="3"/>
                <c:pt idx="0">
                  <c:v>0</c:v>
                </c:pt>
                <c:pt idx="1">
                  <c:v>0</c:v>
                </c:pt>
                <c:pt idx="2">
                  <c:v>0</c:v>
                </c:pt>
              </c:numCache>
            </c:numRef>
          </c:val>
        </c:ser>
        <c:firstSliceAng val="0"/>
        <c:holeSize val="55"/>
      </c:doughnutChart>
      <c:spPr>
        <a:noFill/>
      </c:spPr>
    </c:plotArea>
    <c:legend>
      <c:legendPos val="b"/>
      <c:layout/>
      <c:txPr>
        <a:bodyPr/>
        <a:lstStyle/>
        <a:p>
          <a:pPr rtl="0">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by File Size</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Analysis!$I$27:$I$31</c:f>
              <c:strCache>
                <c:ptCount val="5"/>
                <c:pt idx="0">
                  <c:v>1 MB</c:v>
                </c:pt>
                <c:pt idx="1">
                  <c:v>10 MB</c:v>
                </c:pt>
                <c:pt idx="2">
                  <c:v>50 MB</c:v>
                </c:pt>
                <c:pt idx="3">
                  <c:v>100 MB</c:v>
                </c:pt>
                <c:pt idx="4">
                  <c:v>500 MB</c:v>
                </c:pt>
              </c:strCache>
            </c:strRef>
          </c:cat>
          <c:val>
            <c:numRef>
              <c:f>Analysis!$G$27:$G$31</c:f>
              <c:numCache>
                <c:formatCode>General</c:formatCode>
                <c:ptCount val="5"/>
                <c:pt idx="0">
                  <c:v>0</c:v>
                </c:pt>
                <c:pt idx="1">
                  <c:v>0</c:v>
                </c:pt>
                <c:pt idx="2">
                  <c:v>0</c:v>
                </c:pt>
                <c:pt idx="3">
                  <c:v>0</c:v>
                </c:pt>
                <c:pt idx="4">
                  <c:v>0</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Analysis!$I$27:$I$31</c:f>
              <c:strCache>
                <c:ptCount val="5"/>
                <c:pt idx="0">
                  <c:v>1 MB</c:v>
                </c:pt>
                <c:pt idx="1">
                  <c:v>10 MB</c:v>
                </c:pt>
                <c:pt idx="2">
                  <c:v>50 MB</c:v>
                </c:pt>
                <c:pt idx="3">
                  <c:v>100 MB</c:v>
                </c:pt>
                <c:pt idx="4">
                  <c:v>500 MB</c:v>
                </c:pt>
              </c:strCache>
            </c:strRef>
          </c:cat>
          <c:val>
            <c:numRef>
              <c:f>Analysis!$H$27:$H$31</c:f>
              <c:numCache>
                <c:formatCode>General</c:formatCode>
                <c:ptCount val="5"/>
                <c:pt idx="0">
                  <c:v>0</c:v>
                </c:pt>
                <c:pt idx="1">
                  <c:v>0</c:v>
                </c:pt>
                <c:pt idx="2">
                  <c:v>0</c:v>
                </c:pt>
                <c:pt idx="3">
                  <c:v>0</c:v>
                </c:pt>
                <c:pt idx="4">
                  <c:v>0</c:v>
                </c:pt>
              </c:numCache>
            </c:numRef>
          </c:val>
        </c:ser>
        <c:gapWidth val="70"/>
        <c:overlap val="-5"/>
        <c:axId val="50040001"/>
        <c:axId val="50040002"/>
      </c:barChart>
      <c:catAx>
        <c:axId val="5004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lt;1]0.0;0" sourceLinked="0"/>
        <c:tickLblPos val="nextTo"/>
        <c:spPr>
          <a:ln>
            <a:noFill/>
          </a:ln>
        </c:spPr>
        <c:txPr>
          <a:bodyPr/>
          <a:lstStyle/>
          <a:p>
            <a:pPr>
              <a:defRPr sz="900" baseline="0">
                <a:latin typeface="Calibri"/>
              </a:defRPr>
            </a:pPr>
            <a:endParaRPr lang="en-US"/>
          </a:p>
        </c:txPr>
        <c:crossAx val="5004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Router vs Extender</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Analysis!$A$36:$A$37</c:f>
              <c:strCache>
                <c:ptCount val="2"/>
                <c:pt idx="0">
                  <c:v>Router</c:v>
                </c:pt>
                <c:pt idx="1">
                  <c:v>Extender</c:v>
                </c:pt>
              </c:strCache>
            </c:strRef>
          </c:cat>
          <c:val>
            <c:numRef>
              <c:f>Analysis!$G$36:$G$37</c:f>
              <c:numCache>
                <c:formatCode>General</c:formatCode>
                <c:ptCount val="2"/>
                <c:pt idx="0">
                  <c:v>0</c:v>
                </c:pt>
                <c:pt idx="1">
                  <c:v>0</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Analysis!$A$36:$A$37</c:f>
              <c:strCache>
                <c:ptCount val="2"/>
                <c:pt idx="0">
                  <c:v>Router</c:v>
                </c:pt>
                <c:pt idx="1">
                  <c:v>Extender</c:v>
                </c:pt>
              </c:strCache>
            </c:strRef>
          </c:cat>
          <c:val>
            <c:numRef>
              <c:f>Analysis!$H$36:$H$37</c:f>
              <c:numCache>
                <c:formatCode>General</c:formatCode>
                <c:ptCount val="2"/>
                <c:pt idx="0">
                  <c:v>0</c:v>
                </c:pt>
                <c:pt idx="1">
                  <c:v>0</c:v>
                </c:pt>
              </c:numCache>
            </c:numRef>
          </c:val>
        </c:ser>
        <c:gapWidth val="150"/>
        <c:overlap val="-5"/>
        <c:axId val="50050001"/>
        <c:axId val="50050002"/>
      </c:barChart>
      <c:catAx>
        <c:axId val="5005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lt;1]0.0;0" sourceLinked="0"/>
        <c:tickLblPos val="nextTo"/>
        <c:spPr>
          <a:ln>
            <a:noFill/>
          </a:ln>
        </c:spPr>
        <c:txPr>
          <a:bodyPr/>
          <a:lstStyle/>
          <a:p>
            <a:pPr>
              <a:defRPr sz="900" baseline="0">
                <a:latin typeface="Calibri"/>
              </a:defRPr>
            </a:pPr>
            <a:endParaRPr lang="en-US"/>
          </a:p>
        </c:txPr>
        <c:crossAx val="5005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Wired vs Wireless</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Analysis!$A$42:$A$43</c:f>
              <c:strCache>
                <c:ptCount val="2"/>
                <c:pt idx="0">
                  <c:v>wired</c:v>
                </c:pt>
                <c:pt idx="1">
                  <c:v>wireless</c:v>
                </c:pt>
              </c:strCache>
            </c:strRef>
          </c:cat>
          <c:val>
            <c:numRef>
              <c:f>Analysis!$G$42:$G$43</c:f>
              <c:numCache>
                <c:formatCode>General</c:formatCode>
                <c:ptCount val="2"/>
                <c:pt idx="0">
                  <c:v>0</c:v>
                </c:pt>
                <c:pt idx="1">
                  <c:v>0</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Analysis!$A$42:$A$43</c:f>
              <c:strCache>
                <c:ptCount val="2"/>
                <c:pt idx="0">
                  <c:v>wired</c:v>
                </c:pt>
                <c:pt idx="1">
                  <c:v>wireless</c:v>
                </c:pt>
              </c:strCache>
            </c:strRef>
          </c:cat>
          <c:val>
            <c:numRef>
              <c:f>Analysis!$H$42:$H$43</c:f>
              <c:numCache>
                <c:formatCode>General</c:formatCode>
                <c:ptCount val="2"/>
                <c:pt idx="0">
                  <c:v>0</c:v>
                </c:pt>
                <c:pt idx="1">
                  <c:v>0</c:v>
                </c:pt>
              </c:numCache>
            </c:numRef>
          </c:val>
        </c:ser>
        <c:gapWidth val="150"/>
        <c:overlap val="-5"/>
        <c:axId val="50060001"/>
        <c:axId val="50060002"/>
      </c:barChart>
      <c:catAx>
        <c:axId val="5006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lt;1]0.0;0" sourceLinked="0"/>
        <c:tickLblPos val="nextTo"/>
        <c:spPr>
          <a:ln>
            <a:noFill/>
          </a:ln>
        </c:spPr>
        <c:txPr>
          <a:bodyPr/>
          <a:lstStyle/>
          <a:p>
            <a:pPr>
              <a:defRPr sz="900" baseline="0">
                <a:latin typeface="Calibri"/>
              </a:defRPr>
            </a:pPr>
            <a:endParaRPr lang="en-US"/>
          </a:p>
        </c:txPr>
        <c:crossAx val="5006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B1F3A"/>
                </a:solidFill>
                <a:latin typeface="Calibri"/>
              </a:defRPr>
            </a:pPr>
            <a:r>
              <a:rPr lang="en-US" sz="1200" b="1" baseline="0">
                <a:solidFill>
                  <a:srgbClr val="0B1F3A"/>
                </a:solidFill>
                <a:latin typeface="Calibri"/>
              </a:rPr>
              <a:t>Average Throughput per Round</a:t>
            </a:r>
          </a:p>
        </c:rich>
      </c:tx>
      <c:layout/>
    </c:title>
    <c:plotArea>
      <c:layout/>
      <c:barChart>
        <c:barDir val="col"/>
        <c:grouping val="clustered"/>
        <c:ser>
          <c:idx val="0"/>
          <c:order val="0"/>
          <c:tx>
            <c:v>Read (MB/s)</c:v>
          </c:tx>
          <c:spPr>
            <a:solidFill>
              <a:srgbClr val="1F3F73"/>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Analysis!$A$55:$A$57</c:f>
              <c:strCache>
                <c:ptCount val="3"/>
                <c:pt idx="0">
                  <c:v>Round 1</c:v>
                </c:pt>
                <c:pt idx="1">
                  <c:v>Round 2</c:v>
                </c:pt>
                <c:pt idx="2">
                  <c:v>Round 3</c:v>
                </c:pt>
              </c:strCache>
            </c:strRef>
          </c:cat>
          <c:val>
            <c:numRef>
              <c:f>Analysis!$C$55:$C$57</c:f>
              <c:numCache>
                <c:formatCode>General</c:formatCode>
                <c:ptCount val="3"/>
                <c:pt idx="0">
                  <c:v>0</c:v>
                </c:pt>
                <c:pt idx="1">
                  <c:v>0</c:v>
                </c:pt>
                <c:pt idx="2">
                  <c:v>0</c:v>
                </c:pt>
              </c:numCache>
            </c:numRef>
          </c:val>
        </c:ser>
        <c:ser>
          <c:idx val="1"/>
          <c:order val="1"/>
          <c:tx>
            <c:v>Write (MB/s)</c:v>
          </c:tx>
          <c:spPr>
            <a:solidFill>
              <a:srgbClr val="C9A227"/>
            </a:solidFill>
            <a:ln>
              <a:noFill/>
            </a:ln>
          </c:spPr>
          <c:dLbls>
            <c:numFmt formatCode="0.0;;;" sourceLinked="0"/>
            <c:txPr>
              <a:bodyPr/>
              <a:lstStyle/>
              <a:p>
                <a:pPr>
                  <a:defRPr sz="800" baseline="0">
                    <a:solidFill>
                      <a:srgbClr val="404040"/>
                    </a:solidFill>
                    <a:latin typeface="Calibri"/>
                  </a:defRPr>
                </a:pPr>
                <a:endParaRPr lang="en-US"/>
              </a:p>
            </c:txPr>
            <c:showVal val="1"/>
          </c:dLbls>
          <c:cat>
            <c:strRef>
              <c:f>Analysis!$A$55:$A$57</c:f>
              <c:strCache>
                <c:ptCount val="3"/>
                <c:pt idx="0">
                  <c:v>Round 1</c:v>
                </c:pt>
                <c:pt idx="1">
                  <c:v>Round 2</c:v>
                </c:pt>
                <c:pt idx="2">
                  <c:v>Round 3</c:v>
                </c:pt>
              </c:strCache>
            </c:strRef>
          </c:cat>
          <c:val>
            <c:numRef>
              <c:f>Analysis!$D$55:$D$57</c:f>
              <c:numCache>
                <c:formatCode>General</c:formatCode>
                <c:ptCount val="3"/>
                <c:pt idx="0">
                  <c:v>0</c:v>
                </c:pt>
                <c:pt idx="1">
                  <c:v>0</c:v>
                </c:pt>
                <c:pt idx="2">
                  <c:v>0</c:v>
                </c:pt>
              </c:numCache>
            </c:numRef>
          </c:val>
        </c:ser>
        <c:gapWidth val="150"/>
        <c:overlap val="-5"/>
        <c:axId val="50070001"/>
        <c:axId val="50070002"/>
      </c:barChart>
      <c:catAx>
        <c:axId val="50070001"/>
        <c:scaling>
          <c:orientation val="minMax"/>
        </c:scaling>
        <c:axPos val="b"/>
        <c:majorTickMark val="none"/>
        <c:tickLblPos val="nextTo"/>
        <c:spPr>
          <a:ln>
            <a:solidFill>
              <a:srgbClr val="BFBFBF"/>
            </a:solidFill>
          </a:ln>
        </c:spPr>
        <c:txPr>
          <a:bodyPr/>
          <a:lstStyle/>
          <a:p>
            <a:pPr>
              <a:defRPr sz="900" baseline="0">
                <a:latin typeface="Calibri"/>
              </a:defRPr>
            </a:pPr>
            <a:endParaRPr lang="en-US"/>
          </a:p>
        </c:txPr>
        <c:crossAx val="50070002"/>
        <c:crosses val="autoZero"/>
        <c:auto val="1"/>
        <c:lblAlgn val="ctr"/>
        <c:lblOffset val="100"/>
      </c:catAx>
      <c:valAx>
        <c:axId val="50070002"/>
        <c:scaling>
          <c:orientation val="minMax"/>
          <c:min val="0"/>
        </c:scaling>
        <c:axPos val="l"/>
        <c:majorGridlines>
          <c:spPr>
            <a:ln w="9525">
              <a:solidFill>
                <a:srgbClr val="E7E6E6"/>
              </a:solidFill>
            </a:ln>
          </c:spPr>
        </c:majorGridlines>
        <c:title>
          <c:tx>
            <c:rich>
              <a:bodyPr/>
              <a:lstStyle/>
              <a:p>
                <a:pPr>
                  <a:defRPr sz="900" b="0" baseline="0">
                    <a:latin typeface="Calibri"/>
                  </a:defRPr>
                </a:pPr>
                <a:r>
                  <a:rPr lang="en-US" sz="900" b="0" baseline="0">
                    <a:latin typeface="Calibri"/>
                  </a:rPr>
                  <a:t>MB/s</a:t>
                </a:r>
              </a:p>
            </c:rich>
          </c:tx>
          <c:layout/>
        </c:title>
        <c:numFmt formatCode="[&lt;1]0.0;0" sourceLinked="0"/>
        <c:tickLblPos val="nextTo"/>
        <c:spPr>
          <a:ln>
            <a:noFill/>
          </a:ln>
        </c:spPr>
        <c:txPr>
          <a:bodyPr/>
          <a:lstStyle/>
          <a:p>
            <a:pPr>
              <a:defRPr sz="900" baseline="0">
                <a:latin typeface="Calibri"/>
              </a:defRPr>
            </a:pPr>
            <a:endParaRPr lang="en-US"/>
          </a:p>
        </c:txPr>
        <c:crossAx val="50070001"/>
        <c:crosses val="autoZero"/>
        <c:crossBetween val="between"/>
      </c:valAx>
      <c:spPr>
        <a:noFill/>
      </c:spPr>
    </c:plotArea>
    <c:legend>
      <c:legendPos val="b"/>
      <c:layout/>
      <c:txPr>
        <a:bodyPr/>
        <a:lstStyle/>
        <a:p>
          <a:pPr>
            <a:defRPr sz="900" baseline="0">
              <a:latin typeface="Calibri"/>
            </a:defRPr>
          </a:pPr>
          <a:endParaRPr lang="en-US"/>
        </a:p>
      </c:txPr>
    </c:legend>
    <c:plotVisOnly val="1"/>
  </c:chart>
  <c:spPr>
    <a:solidFill>
      <a:srgbClr val="FFFFFF"/>
    </a:solidFill>
    <a:ln>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19050</xdr:colOff>
      <xdr:row>10</xdr:row>
      <xdr:rowOff>19050</xdr:rowOff>
    </xdr:from>
    <xdr:to>
      <xdr:col>6</xdr:col>
      <xdr:colOff>876300</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10</xdr:row>
      <xdr:rowOff>19050</xdr:rowOff>
    </xdr:from>
    <xdr:to>
      <xdr:col>12</xdr:col>
      <xdr:colOff>876300</xdr:colOff>
      <xdr:row>24</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25</xdr:row>
      <xdr:rowOff>19050</xdr:rowOff>
    </xdr:from>
    <xdr:to>
      <xdr:col>6</xdr:col>
      <xdr:colOff>876300</xdr:colOff>
      <xdr:row>39</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xdr:colOff>
      <xdr:row>25</xdr:row>
      <xdr:rowOff>19050</xdr:rowOff>
    </xdr:from>
    <xdr:to>
      <xdr:col>12</xdr:col>
      <xdr:colOff>876300</xdr:colOff>
      <xdr:row>39</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40</xdr:row>
      <xdr:rowOff>19050</xdr:rowOff>
    </xdr:from>
    <xdr:to>
      <xdr:col>6</xdr:col>
      <xdr:colOff>876300</xdr:colOff>
      <xdr:row>54</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40</xdr:row>
      <xdr:rowOff>19050</xdr:rowOff>
    </xdr:from>
    <xdr:to>
      <xdr:col>12</xdr:col>
      <xdr:colOff>876300</xdr:colOff>
      <xdr:row>54</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55</xdr:row>
      <xdr:rowOff>19050</xdr:rowOff>
    </xdr:from>
    <xdr:to>
      <xdr:col>6</xdr:col>
      <xdr:colOff>876300</xdr:colOff>
      <xdr:row>69</xdr:row>
      <xdr:rowOff>114300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ResultsTable" displayName="ResultsTable" ref="A4:AM5" totalsRowShown="0">
  <autoFilter ref="A4:AM5"/>
  <tableColumns count="39">
    <tableColumn id="1" name="DUT Role" dataDxfId="0"/>
    <tableColumn id="2" name="Interface" dataDxfId="0"/>
    <tableColumn id="3" name="Connection" dataDxfId="0"/>
    <tableColumn id="4" name="USB Format" dataDxfId="0"/>
    <tableColumn id="5" name="Direction" dataDxfId="0"/>
    <tableColumn id="6" name="File" dataDxfId="1"/>
    <tableColumn id="7" name="Round" dataDxfId="2"/>
    <tableColumn id="8" name="Throughput (MB/s)" dataDxfId="3"/>
    <tableColumn id="9" name="Duration (s)" dataDxfId="4"/>
    <tableColumn id="10" name="Average (MB/s)" dataDxfId="3"/>
    <tableColumn id="11" name="Min (MB/s)" dataDxfId="3"/>
    <tableColumn id="12" name="Max (MB/s)" dataDxfId="3"/>
    <tableColumn id="13" name="Std Dev" dataDxfId="3"/>
    <tableColumn id="14" name="Result" dataDxfId="0"/>
    <tableColumn id="15" name="Failure Reason" dataDxfId="5"/>
    <tableColumn id="16" name="Time" dataDxfId="6"/>
    <tableColumn id="17" name="USB Share" dataDxfId="1"/>
    <tableColumn id="18" name="SSID" dataDxfId="1"/>
    <tableColumn id="19" name="Actual Band" dataDxfId="0"/>
    <tableColumn id="20" name="Channel" dataDxfId="0"/>
    <tableColumn id="21" name="Signal" dataDxfId="0"/>
    <tableColumn id="22" name="BSSID" dataDxfId="1"/>
    <tableColumn id="23" name="Client IP" dataDxfId="1"/>
    <tableColumn id="24" name="Gateway IP" dataDxfId="1"/>
    <tableColumn id="25" name="File Check" dataDxfId="1"/>
    <tableColumn id="26" name="File Set" dataDxfId="0"/>
    <tableColumn id="27" name="Detected USB Format" dataDxfId="0"/>
    <tableColumn id="28" name="DUT Model" dataDxfId="0"/>
    <tableColumn id="29" name="DUT Name" dataDxfId="1"/>
    <tableColumn id="30" name="Firmware" dataDxfId="1"/>
    <tableColumn id="31" name="HW Version" dataDxfId="0"/>
    <tableColumn id="32" name="Topology" dataDxfId="1"/>
    <tableColumn id="33" name="Client Type" dataDxfId="1"/>
    <tableColumn id="34" name="Client OS" dataDxfId="1"/>
    <tableColumn id="35" name="Project" dataDxfId="1"/>
    <tableColumn id="36" name="Interface Matched" dataDxfId="0"/>
    <tableColumn id="37" name="Role Assumed" dataDxfId="0"/>
    <tableColumn id="38" name="DUT Reachable" dataDxfId="0"/>
    <tableColumn id="39" name="Share Writable" dataDxfId="0"/>
  </tableColumns>
  <tableStyleInfo showFirstColumn="0" showLastColumn="0" showRowStripes="1" showColumnStripes="0"/>
</table>
</file>

<file path=xl/tables/table2.xml><?xml version="1.0" encoding="utf-8"?>
<table xmlns="http://schemas.openxmlformats.org/spreadsheetml/2006/main" id="2" name="IssuesTable" displayName="IssuesTable" ref="A4:H5" totalsRowShown="0">
  <autoFilter ref="A4:H5"/>
  <tableColumns count="8">
    <tableColumn id="1" name="Result" dataDxfId="0"/>
    <tableColumn id="2" name="DUT Role" dataDxfId="0"/>
    <tableColumn id="3" name="Interface" dataDxfId="0"/>
    <tableColumn id="4" name="USB Format" dataDxfId="0"/>
    <tableColumn id="5" name="Direction" dataDxfId="0"/>
    <tableColumn id="6" name="File" dataDxfId="1"/>
    <tableColumn id="7" name="Round" dataDxfId="0"/>
    <tableColumn id="8" name="Reason" dataDxf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sheetPr>
    <tabColor rgb="FF0B1F3A"/>
  </sheetPr>
  <dimension ref="B1:M84"/>
  <sheetViews>
    <sheetView showGridLines="0" tabSelected="1" workbookViewId="0"/>
  </sheetViews>
  <sheetFormatPr defaultRowHeight="15"/>
  <cols>
    <col min="1" max="1" width="2.7109375" customWidth="1"/>
    <col min="2" max="13" width="13.7109375" customWidth="1"/>
    <col min="14" max="14" width="2.7109375" customWidth="1"/>
  </cols>
  <sheetData>
    <row r="1" spans="2:13" ht="38" customHeight="1">
      <c r="B1" s="1" t="s">
        <v>137</v>
      </c>
      <c r="C1" s="1"/>
      <c r="D1" s="1"/>
      <c r="E1" s="1"/>
      <c r="F1" s="1"/>
      <c r="G1" s="1"/>
      <c r="H1" s="1"/>
      <c r="I1" s="1"/>
      <c r="J1" s="1"/>
      <c r="K1" s="1"/>
      <c r="L1" s="1"/>
      <c r="M1" s="1"/>
    </row>
    <row r="2" spans="2:13" ht="22" customHeight="1">
      <c r="B2" s="2" t="s">
        <v>138</v>
      </c>
      <c r="C2" s="2"/>
      <c r="D2" s="2"/>
      <c r="E2" s="2"/>
      <c r="F2" s="2"/>
      <c r="G2" s="2"/>
      <c r="H2" s="2"/>
      <c r="I2" s="2"/>
      <c r="J2" s="2"/>
      <c r="K2" s="2"/>
      <c r="L2" s="2"/>
      <c r="M2" s="2"/>
    </row>
    <row r="3" spans="2:13">
      <c r="B3" s="3" t="s">
        <v>139</v>
      </c>
      <c r="C3" s="3"/>
      <c r="D3" s="3"/>
      <c r="E3" s="3"/>
      <c r="F3" s="3"/>
      <c r="G3" s="3"/>
      <c r="H3" s="3"/>
      <c r="I3" s="3"/>
      <c r="J3" s="3"/>
      <c r="K3" s="3"/>
      <c r="L3" s="3"/>
      <c r="M3" s="3"/>
    </row>
    <row r="4" spans="2:13" ht="8" customHeight="1"/>
    <row r="5" spans="2:13">
      <c r="B5" s="4" t="s">
        <v>140</v>
      </c>
      <c r="C5" s="4"/>
      <c r="D5" s="4" t="s">
        <v>141</v>
      </c>
      <c r="E5" s="4"/>
      <c r="F5" s="4" t="s">
        <v>142</v>
      </c>
      <c r="G5" s="4"/>
      <c r="H5" s="4" t="s">
        <v>143</v>
      </c>
      <c r="I5" s="4"/>
      <c r="J5" s="4" t="s">
        <v>125</v>
      </c>
      <c r="K5" s="4"/>
      <c r="L5" s="4" t="s">
        <v>144</v>
      </c>
      <c r="M5" s="4"/>
    </row>
    <row r="6" spans="2:13" ht="36" customHeight="1">
      <c r="B6" s="5" t="str">
        <f>IF(D6+J6=0,"NO DATA",IF(H6&gt;0,"FAIL",IF(J6&gt;0,"INCOMPLETE","PASS")))</f>
        <v>NO DATA</v>
      </c>
      <c r="C6" s="5"/>
      <c r="D6" s="6">
        <f>COUNTA(Results!$N$5:$N$5004)-COUNTIF(Results!$N$5:$N$5004,"SKIPPED")</f>
        <v>0</v>
      </c>
      <c r="E6" s="6"/>
      <c r="F6" s="7">
        <f>COUNTIF(Results!$N$5:$N$5004,"PASS")</f>
        <v>0</v>
      </c>
      <c r="G6" s="7"/>
      <c r="H6" s="8">
        <f>D6-F6</f>
        <v>0</v>
      </c>
      <c r="I6" s="8"/>
      <c r="J6" s="9">
        <f>COUNTIF(Results!$N$5:$N$5004,"SKIPPED")</f>
        <v>0</v>
      </c>
      <c r="K6" s="9"/>
      <c r="L6" s="10" t="str">
        <f>IFERROR(F6/D6,"–")</f>
        <v>–</v>
      </c>
      <c r="M6" s="10"/>
    </row>
    <row r="7" spans="2:13" ht="6" customHeight="1"/>
    <row r="8" spans="2:13">
      <c r="B8" s="4" t="s">
        <v>145</v>
      </c>
      <c r="C8" s="4"/>
      <c r="D8" s="4"/>
      <c r="E8" s="4" t="s">
        <v>146</v>
      </c>
      <c r="F8" s="4"/>
      <c r="G8" s="4"/>
      <c r="H8" s="4" t="s">
        <v>147</v>
      </c>
      <c r="I8" s="4"/>
      <c r="J8" s="4"/>
      <c r="K8" s="4" t="s">
        <v>148</v>
      </c>
      <c r="L8" s="4"/>
      <c r="M8" s="4"/>
    </row>
    <row r="9" spans="2:13" ht="34" customHeight="1">
      <c r="B9" s="11" t="str">
        <f>IFERROR(AVERAGEIFS(Results!$H$5:$H$5004,Results!$E$5:$E$5004,"read",Results!$I$5:$I$5004,"&gt;0"),"–")</f>
        <v>–</v>
      </c>
      <c r="C9" s="11"/>
      <c r="D9" s="11"/>
      <c r="E9" s="12" t="str">
        <f>IFERROR(AVERAGEIFS(Results!$H$5:$H$5004,Results!$E$5:$E$5004,"write",Results!$I$5:$I$5004,"&gt;0"),"–")</f>
        <v>–</v>
      </c>
      <c r="F9" s="12"/>
      <c r="G9" s="12"/>
      <c r="H9" s="11" t="str">
        <f>IF(COUNTIFS(Results!$E$5:$E$5004,"read")=0,"–",SUMPRODUCT(MAX((Results!$E$5:$E$5004="read")*Results!$H$5:$H$5004)))</f>
        <v>–</v>
      </c>
      <c r="I9" s="11"/>
      <c r="J9" s="11"/>
      <c r="K9" s="12" t="str">
        <f>IF(COUNTIFS(Results!$E$5:$E$5004,"write")=0,"–",SUMPRODUCT(MAX((Results!$E$5:$E$5004="write")*Results!$H$5:$H$5004)))</f>
        <v>–</v>
      </c>
      <c r="L9" s="12"/>
      <c r="M9" s="12"/>
    </row>
    <row r="10" spans="2:13" ht="10" customHeight="1"/>
    <row r="72" spans="2:13">
      <c r="B72" s="13" t="s">
        <v>149</v>
      </c>
      <c r="C72" s="13"/>
      <c r="D72" s="13"/>
      <c r="E72" s="13"/>
      <c r="F72" s="13"/>
      <c r="G72" s="13"/>
      <c r="H72" s="13"/>
      <c r="I72" s="13"/>
      <c r="J72" s="13"/>
      <c r="K72" s="13"/>
      <c r="L72" s="13"/>
      <c r="M72" s="13"/>
    </row>
    <row r="73" spans="2:13">
      <c r="B73" s="14" t="s">
        <v>39</v>
      </c>
      <c r="C73" s="14"/>
      <c r="D73" s="15"/>
      <c r="E73" s="15"/>
      <c r="F73" s="15"/>
      <c r="G73" s="15"/>
      <c r="H73" s="14" t="s">
        <v>150</v>
      </c>
      <c r="I73" s="14"/>
      <c r="J73" s="15"/>
      <c r="K73" s="15"/>
      <c r="L73" s="15"/>
      <c r="M73" s="15"/>
    </row>
    <row r="74" spans="2:13">
      <c r="B74" s="14" t="s">
        <v>151</v>
      </c>
      <c r="C74" s="14"/>
      <c r="D74" s="15"/>
      <c r="E74" s="15"/>
      <c r="F74" s="15"/>
      <c r="G74" s="15"/>
      <c r="H74" s="14" t="s">
        <v>27</v>
      </c>
      <c r="I74" s="14"/>
      <c r="J74" s="15"/>
      <c r="K74" s="15"/>
      <c r="L74" s="15"/>
      <c r="M74" s="15"/>
    </row>
    <row r="75" spans="2:13">
      <c r="B75" s="14" t="s">
        <v>36</v>
      </c>
      <c r="C75" s="14"/>
      <c r="D75" s="15"/>
      <c r="E75" s="15"/>
      <c r="F75" s="15"/>
      <c r="G75" s="15"/>
      <c r="H75" s="14" t="s">
        <v>152</v>
      </c>
      <c r="I75" s="14"/>
      <c r="J75" s="15"/>
      <c r="K75" s="15"/>
      <c r="L75" s="15"/>
      <c r="M75" s="15"/>
    </row>
    <row r="76" spans="2:13">
      <c r="B76" s="14" t="s">
        <v>7</v>
      </c>
      <c r="C76" s="14"/>
      <c r="D76" s="15"/>
      <c r="E76" s="15"/>
      <c r="F76" s="15"/>
      <c r="G76" s="15"/>
      <c r="H76" s="14" t="s">
        <v>153</v>
      </c>
      <c r="I76" s="14"/>
      <c r="J76" s="15"/>
      <c r="K76" s="15"/>
      <c r="L76" s="15"/>
      <c r="M76" s="15"/>
    </row>
    <row r="77" spans="2:13">
      <c r="B77" s="14" t="s">
        <v>154</v>
      </c>
      <c r="C77" s="14"/>
      <c r="D77" s="15"/>
      <c r="E77" s="15"/>
      <c r="F77" s="15"/>
      <c r="G77" s="15"/>
      <c r="H77" s="14" t="s">
        <v>155</v>
      </c>
      <c r="I77" s="14"/>
      <c r="J77" s="15"/>
      <c r="K77" s="15"/>
      <c r="L77" s="15"/>
      <c r="M77" s="15"/>
    </row>
    <row r="78" spans="2:13">
      <c r="B78" s="14" t="s">
        <v>156</v>
      </c>
      <c r="C78" s="14"/>
      <c r="D78" s="15"/>
      <c r="E78" s="15"/>
      <c r="F78" s="15"/>
      <c r="G78" s="15"/>
      <c r="H78" s="15"/>
      <c r="I78" s="15"/>
      <c r="J78" s="15"/>
      <c r="K78" s="15"/>
      <c r="L78" s="15"/>
      <c r="M78" s="15"/>
    </row>
    <row r="79" spans="2:13">
      <c r="B79" s="14" t="s">
        <v>157</v>
      </c>
      <c r="C79" s="14"/>
      <c r="D79" s="15"/>
      <c r="E79" s="15"/>
      <c r="F79" s="15"/>
      <c r="G79" s="15"/>
      <c r="H79" s="15"/>
      <c r="I79" s="15"/>
      <c r="J79" s="15"/>
      <c r="K79" s="15"/>
      <c r="L79" s="15"/>
      <c r="M79" s="15"/>
    </row>
    <row r="81" spans="2:13">
      <c r="B81" s="13" t="s">
        <v>158</v>
      </c>
      <c r="C81" s="13"/>
      <c r="D81" s="13"/>
      <c r="E81" s="13"/>
      <c r="F81" s="13"/>
      <c r="G81" s="13"/>
      <c r="H81" s="13"/>
      <c r="I81" s="13"/>
      <c r="J81" s="13"/>
      <c r="K81" s="13"/>
      <c r="L81" s="13"/>
      <c r="M81" s="13"/>
    </row>
    <row r="82" spans="2:13">
      <c r="B82" s="16" t="s">
        <v>159</v>
      </c>
      <c r="C82" s="16" t="s">
        <v>160</v>
      </c>
      <c r="D82" s="16"/>
      <c r="E82" s="16" t="s">
        <v>161</v>
      </c>
      <c r="F82" s="16"/>
      <c r="G82" s="16" t="s">
        <v>34</v>
      </c>
      <c r="H82" s="16"/>
      <c r="I82" s="16"/>
      <c r="J82" s="16"/>
      <c r="K82" s="16" t="s">
        <v>35</v>
      </c>
      <c r="L82" s="16" t="s">
        <v>21</v>
      </c>
      <c r="M82" s="16"/>
    </row>
    <row r="83" spans="2:13">
      <c r="B83" s="15" t="s">
        <v>81</v>
      </c>
      <c r="C83" s="15"/>
      <c r="D83" s="15"/>
      <c r="E83" s="15"/>
      <c r="F83" s="15"/>
      <c r="G83" s="15"/>
      <c r="H83" s="15"/>
      <c r="I83" s="15"/>
      <c r="J83" s="15"/>
      <c r="K83" s="15"/>
      <c r="L83" s="15"/>
      <c r="M83" s="15"/>
    </row>
    <row r="84" spans="2:13">
      <c r="B84" s="15" t="s">
        <v>82</v>
      </c>
      <c r="C84" s="15"/>
      <c r="D84" s="15"/>
      <c r="E84" s="15"/>
      <c r="F84" s="15"/>
      <c r="G84" s="15"/>
      <c r="H84" s="15"/>
      <c r="I84" s="15"/>
      <c r="J84" s="15"/>
      <c r="K84" s="15"/>
      <c r="L84" s="15"/>
      <c r="M84" s="15"/>
    </row>
  </sheetData>
  <mergeCells count="61">
    <mergeCell ref="B1:M1"/>
    <mergeCell ref="B2:M2"/>
    <mergeCell ref="B3:M3"/>
    <mergeCell ref="B5:C5"/>
    <mergeCell ref="B6:C6"/>
    <mergeCell ref="D5:E5"/>
    <mergeCell ref="D6:E6"/>
    <mergeCell ref="F5:G5"/>
    <mergeCell ref="F6:G6"/>
    <mergeCell ref="H5:I5"/>
    <mergeCell ref="H6:I6"/>
    <mergeCell ref="J5:K5"/>
    <mergeCell ref="J6:K6"/>
    <mergeCell ref="L5:M5"/>
    <mergeCell ref="L6:M6"/>
    <mergeCell ref="B8:D8"/>
    <mergeCell ref="B9:D9"/>
    <mergeCell ref="E8:G8"/>
    <mergeCell ref="E9:G9"/>
    <mergeCell ref="H8:J8"/>
    <mergeCell ref="H9:J9"/>
    <mergeCell ref="K8:M8"/>
    <mergeCell ref="K9:M9"/>
    <mergeCell ref="B72:M72"/>
    <mergeCell ref="B73:C73"/>
    <mergeCell ref="D73:G73"/>
    <mergeCell ref="H73:I73"/>
    <mergeCell ref="J73:M73"/>
    <mergeCell ref="B74:C74"/>
    <mergeCell ref="D74:G74"/>
    <mergeCell ref="H74:I74"/>
    <mergeCell ref="J74:M74"/>
    <mergeCell ref="B75:C75"/>
    <mergeCell ref="D75:G75"/>
    <mergeCell ref="H75:I75"/>
    <mergeCell ref="J75:M75"/>
    <mergeCell ref="B76:C76"/>
    <mergeCell ref="D76:G76"/>
    <mergeCell ref="H76:I76"/>
    <mergeCell ref="J76:M76"/>
    <mergeCell ref="B77:C77"/>
    <mergeCell ref="D77:G77"/>
    <mergeCell ref="H77:I77"/>
    <mergeCell ref="J77:M77"/>
    <mergeCell ref="B78:C78"/>
    <mergeCell ref="D78:M78"/>
    <mergeCell ref="B79:C79"/>
    <mergeCell ref="D79:M79"/>
    <mergeCell ref="B81:M81"/>
    <mergeCell ref="C82:D82"/>
    <mergeCell ref="E82:F82"/>
    <mergeCell ref="G82:J82"/>
    <mergeCell ref="L82:M82"/>
    <mergeCell ref="C83:D83"/>
    <mergeCell ref="E83:F83"/>
    <mergeCell ref="G83:J83"/>
    <mergeCell ref="L83:M83"/>
    <mergeCell ref="C84:D84"/>
    <mergeCell ref="E84:F84"/>
    <mergeCell ref="G84:J84"/>
    <mergeCell ref="L84:M84"/>
  </mergeCells>
  <conditionalFormatting sqref="B6:C6">
    <cfRule type="cellIs" dxfId="13" priority="1" operator="equal">
      <formula>"PASS"</formula>
    </cfRule>
    <cfRule type="cellIs" dxfId="14" priority="2" operator="equal">
      <formula>"FAIL"</formula>
    </cfRule>
    <cfRule type="cellIs" dxfId="15" priority="3" operator="equal">
      <formula>"INCOMPLETE"</formula>
    </cfRule>
  </conditionalFormatting>
  <pageMargins left="0.4" right="0.4" top="0.5" bottom="0.5" header="0.3" footer="0.3"/>
  <pageSetup paperSize="1" scale="78" orientation="landscape"/>
  <rowBreaks count="2" manualBreakCount="2">
    <brk id="40" max="16383" man="1"/>
    <brk id="71"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F73"/>
    <outlinePr summaryRight="0"/>
    <pageSetUpPr fitToPage="1"/>
  </sheetPr>
  <dimension ref="A1:AM4"/>
  <sheetViews>
    <sheetView workbookViewId="0">
      <pane xSplit="2" ySplit="4" topLeftCell="C5" activePane="bottomRight" state="frozen"/>
      <selection pane="topRight" activeCell="C1" sqref="C1"/>
      <selection pane="bottomLeft" activeCell="A5" sqref="A5"/>
      <selection pane="bottomRight"/>
    </sheetView>
  </sheetViews>
  <sheetFormatPr defaultRowHeight="15" outlineLevelCol="1" x14ac:dyDescent="0.25"/>
  <cols>
    <col min="1" max="1" width="9.7109375" customWidth="1"/>
    <col min="2" max="4" width="11.7109375" customWidth="1"/>
    <col min="5" max="5" width="10.7109375" customWidth="1"/>
    <col min="6" max="6" width="19.7109375" customWidth="1"/>
    <col min="7" max="7" width="7.7109375" customWidth="1"/>
    <col min="8" max="8" width="15.7109375" customWidth="1"/>
    <col min="9" max="9" width="11.7109375" customWidth="1"/>
    <col min="10" max="10" width="13.7109375" customWidth="1"/>
    <col min="11" max="12" width="11.7109375" customWidth="1"/>
    <col min="13" max="13" width="9.7109375" customWidth="1"/>
    <col min="14" max="14" width="12.7109375" customWidth="1"/>
    <col min="15" max="15" width="58.7109375" customWidth="1" collapsed="1"/>
    <col min="16" max="16" width="19.7109375" hidden="1" customWidth="1" outlineLevel="1"/>
    <col min="17" max="17" width="22.7109375" hidden="1" customWidth="1" outlineLevel="1"/>
    <col min="18" max="18" width="14.7109375" hidden="1" customWidth="1" outlineLevel="1"/>
    <col min="19" max="19" width="11.7109375" hidden="1" customWidth="1" outlineLevel="1"/>
    <col min="20" max="20" width="9.7109375" hidden="1" customWidth="1" outlineLevel="1"/>
    <col min="21" max="21" width="8.7109375" hidden="1" customWidth="1" outlineLevel="1"/>
    <col min="22" max="22" width="18.7109375" hidden="1" customWidth="1" outlineLevel="1"/>
    <col min="23" max="24" width="15.7109375" hidden="1" customWidth="1" outlineLevel="1"/>
    <col min="25" max="25" width="16.7109375" hidden="1" customWidth="1" outlineLevel="1"/>
    <col min="26" max="26" width="9.7109375" hidden="1" customWidth="1" outlineLevel="1"/>
    <col min="27" max="27" width="15.7109375" hidden="1" customWidth="1" outlineLevel="1"/>
    <col min="28" max="28" width="11.7109375" hidden="1" customWidth="1" outlineLevel="1"/>
    <col min="29" max="29" width="14.7109375" hidden="1" customWidth="1" outlineLevel="1"/>
    <col min="30" max="30" width="32.7109375" hidden="1" customWidth="1" outlineLevel="1"/>
    <col min="31" max="31" width="11.7109375" hidden="1" customWidth="1" outlineLevel="1"/>
    <col min="32" max="32" width="38.7109375" hidden="1" customWidth="1" outlineLevel="1"/>
    <col min="33" max="34" width="12.7109375" hidden="1" customWidth="1" outlineLevel="1"/>
    <col min="35" max="35" width="30.7109375" hidden="1" customWidth="1" outlineLevel="1"/>
    <col min="36" max="39" width="11.7109375" hidden="1" customWidth="1" outlineLevel="1"/>
  </cols>
  <sheetData>
    <row r="1" spans="1:39" ht="28" customHeight="1" x14ac:dyDescent="0.25">
      <c r="A1" s="17" t="s">
        <v>0</v>
      </c>
      <c r="B1" s="17"/>
      <c r="C1" s="17"/>
      <c r="D1" s="17"/>
      <c r="E1" s="17"/>
      <c r="F1" s="17"/>
      <c r="G1" s="17"/>
      <c r="H1" s="17"/>
      <c r="I1" s="17"/>
      <c r="J1" s="17"/>
      <c r="K1" s="17"/>
      <c r="L1" s="17"/>
      <c r="M1" s="17"/>
      <c r="N1" s="17"/>
      <c r="O1" s="17"/>
    </row>
    <row r="2" spans="1:39" x14ac:dyDescent="0.25">
      <c r="A2" s="18" t="s">
        <v>1</v>
      </c>
      <c r="B2" s="18"/>
      <c r="C2" s="18"/>
      <c r="D2" s="18"/>
      <c r="E2" s="18"/>
      <c r="F2" s="18"/>
      <c r="G2" s="18"/>
      <c r="H2" s="18"/>
      <c r="I2" s="18"/>
      <c r="J2" s="18"/>
      <c r="K2" s="18"/>
      <c r="L2" s="18"/>
      <c r="M2" s="18"/>
      <c r="N2" s="18"/>
      <c r="O2" s="18"/>
    </row>
    <row r="3" spans="1:39" x14ac:dyDescent="0.25">
      <c r="A3" s="19" t="s">
        <v>2</v>
      </c>
      <c r="B3" s="19"/>
      <c r="C3" s="19"/>
      <c r="D3" s="19"/>
      <c r="E3" s="19"/>
      <c r="F3" s="19"/>
      <c r="G3" s="19"/>
      <c r="H3" s="20" t="s">
        <v>3</v>
      </c>
      <c r="I3" s="20"/>
      <c r="J3" s="20"/>
      <c r="K3" s="20"/>
      <c r="L3" s="20"/>
      <c r="M3" s="20"/>
      <c r="N3" s="21" t="s">
        <v>4</v>
      </c>
      <c r="O3" s="21"/>
    </row>
    <row r="4" spans="1:39" ht="32" customHeight="1" x14ac:dyDescent="0.25">
      <c r="A4" s="22" t="s">
        <v>5</v>
      </c>
      <c r="B4" s="22" t="s">
        <v>6</v>
      </c>
      <c r="C4" s="22" t="s">
        <v>7</v>
      </c>
      <c r="D4" s="22" t="s">
        <v>8</v>
      </c>
      <c r="E4" s="22" t="s">
        <v>9</v>
      </c>
      <c r="F4" s="22" t="s">
        <v>10</v>
      </c>
      <c r="G4" s="22" t="s">
        <v>11</v>
      </c>
      <c r="H4" s="22" t="s">
        <v>12</v>
      </c>
      <c r="I4" s="22" t="s">
        <v>13</v>
      </c>
      <c r="J4" s="22" t="s">
        <v>14</v>
      </c>
      <c r="K4" s="22" t="s">
        <v>15</v>
      </c>
      <c r="L4" s="22" t="s">
        <v>16</v>
      </c>
      <c r="M4" s="22" t="s">
        <v>17</v>
      </c>
      <c r="N4" s="22" t="s">
        <v>18</v>
      </c>
      <c r="O4" s="22" t="s">
        <v>19</v>
      </c>
      <c r="P4" s="22" t="s">
        <v>20</v>
      </c>
      <c r="Q4" s="22" t="s">
        <v>21</v>
      </c>
      <c r="R4" s="22" t="s">
        <v>22</v>
      </c>
      <c r="S4" s="22" t="s">
        <v>23</v>
      </c>
      <c r="T4" s="22" t="s">
        <v>24</v>
      </c>
      <c r="U4" s="22" t="s">
        <v>25</v>
      </c>
      <c r="V4" s="22" t="s">
        <v>26</v>
      </c>
      <c r="W4" s="22" t="s">
        <v>27</v>
      </c>
      <c r="X4" s="22" t="s">
        <v>28</v>
      </c>
      <c r="Y4" s="22" t="s">
        <v>29</v>
      </c>
      <c r="Z4" s="22" t="s">
        <v>30</v>
      </c>
      <c r="AA4" s="22" t="s">
        <v>31</v>
      </c>
      <c r="AB4" s="22" t="s">
        <v>32</v>
      </c>
      <c r="AC4" s="22" t="s">
        <v>33</v>
      </c>
      <c r="AD4" s="22" t="s">
        <v>34</v>
      </c>
      <c r="AE4" s="22" t="s">
        <v>35</v>
      </c>
      <c r="AF4" s="22" t="s">
        <v>36</v>
      </c>
      <c r="AG4" s="22" t="s">
        <v>37</v>
      </c>
      <c r="AH4" s="22" t="s">
        <v>38</v>
      </c>
      <c r="AI4" s="22" t="s">
        <v>39</v>
      </c>
      <c r="AJ4" s="22" t="s">
        <v>40</v>
      </c>
      <c r="AK4" s="22" t="s">
        <v>41</v>
      </c>
      <c r="AL4" s="22" t="s">
        <v>42</v>
      </c>
      <c r="AM4" s="22" t="s">
        <v>43</v>
      </c>
    </row>
  </sheetData>
  <mergeCells count="5">
    <mergeCell ref="A1:O1"/>
    <mergeCell ref="A2:O2"/>
    <mergeCell ref="A3:G3"/>
    <mergeCell ref="H3:M3"/>
    <mergeCell ref="N3:O3"/>
  </mergeCells>
  <conditionalFormatting sqref="A5:O5004">
    <cfRule type="expression" dxfId="7" priority="1">
      <formula>$N5="PERF_FAIL"</formula>
    </cfRule>
    <cfRule type="expression" dxfId="7" priority="2">
      <formula>$N5="ERROR"</formula>
    </cfRule>
    <cfRule type="expression" dxfId="8" priority="3">
      <formula>$N5="SKIPPED"</formula>
    </cfRule>
    <cfRule type="expression" dxfId="12" priority="9">
      <formula>AND($A5&lt;&gt;"",MOD(ROW(),2)=0)</formula>
    </cfRule>
  </conditionalFormatting>
  <conditionalFormatting sqref="H5:H5004">
    <cfRule type="dataBar" priority="8">
      <dataBar>
        <cfvo type="num" val="0"/>
        <cfvo type="max"/>
        <color rgb="FFA9B8D6"/>
      </dataBar>
      <extLst>
        <ext xmlns:x14="http://schemas.microsoft.com/office/spreadsheetml/2009/9/main" uri="{B025F937-C7B1-47D3-B67F-A62EFF666E3E}">
          <x14:id>{DA7ABA51-AAAA-BBBB-0002-000000000001}</x14:id>
        </ext>
      </extLst>
    </cfRule>
  </conditionalFormatting>
  <conditionalFormatting sqref="N5:N5004">
    <cfRule type="cellIs" dxfId="9" priority="4" operator="equal">
      <formula>"PASS"</formula>
    </cfRule>
    <cfRule type="cellIs" dxfId="10" priority="5" operator="equal">
      <formula>"PERF_FAIL"</formula>
    </cfRule>
    <cfRule type="cellIs" dxfId="10" priority="6" operator="equal">
      <formula>"ERROR"</formula>
    </cfRule>
    <cfRule type="cellIs" dxfId="11" priority="7" operator="equal">
      <formula>"SKIPPED"</formula>
    </cfRule>
  </conditionalFormatting>
  <dataValidations count="6">
    <dataValidation type="list" errorStyle="warning" allowBlank="1" showInputMessage="1" showErrorMessage="1" errorTitle="Unexpected value" error="That isn't one of the usual values. Keep it anyway?" sqref="A5:A5004">
      <formula1>"Router,Extender"</formula1>
    </dataValidation>
    <dataValidation type="list" errorStyle="warning" allowBlank="1" showInputMessage="1" showErrorMessage="1" errorTitle="Unexpected value" error="That isn't one of the usual values. Keep it anyway?" sqref="C5:C5004">
      <formula1>"wired,wireless"</formula1>
    </dataValidation>
    <dataValidation type="list" errorStyle="warning" allowBlank="1" showInputMessage="1" showErrorMessage="1" errorTitle="Unexpected value" error="That isn't one of the usual values. Keep it anyway?" sqref="E5:E5004">
      <formula1>"read,write"</formula1>
    </dataValidation>
    <dataValidation type="list" errorStyle="warning" allowBlank="1" showInputMessage="1" showErrorMessage="1" errorTitle="Unexpected value" error="That isn't one of the usual values. Keep it anyway?" sqref="D5:D5004">
      <formula1>"FAT32,NTFS,exFAT,HFS+,EXT4"</formula1>
    </dataValidation>
    <dataValidation type="list" errorStyle="warning" allowBlank="1" showInputMessage="1" showErrorMessage="1" errorTitle="Unexpected value" error="That isn't one of the usual values. Keep it anyway?" sqref="B5:B5004">
      <formula1>"1Gbps,2.5Gbps,10Gbps,SFP Port,2.4GHz,5GHz,6GHz,MLO"</formula1>
    </dataValidation>
    <dataValidation type="list" errorStyle="warning" allowBlank="1" showInputMessage="1" showErrorMessage="1" errorTitle="Unexpected value" error="That isn't one of the usual values. Keep it anyway?" sqref="N5:N5004">
      <formula1>"PASS,PERF_FAIL,ERROR,SKIPPED"</formula1>
    </dataValidation>
  </dataValidations>
  <pageMargins left="0.7" right="0.7" top="0.75" bottom="0.75" header="0.3" footer="0.3"/>
  <pageSetup paperSize="1" fitToHeight="0"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H5:H5004</xm:sqref>
        </x14:conditionalFormatting>
      </x14:conditionalFormattings>
    </ext>
  </extLst>
</worksheet>
</file>

<file path=xl/worksheets/sheet3.xml><?xml version="1.0" encoding="utf-8"?>
<worksheet xmlns="http://schemas.openxmlformats.org/spreadsheetml/2006/main" xmlns:r="http://schemas.openxmlformats.org/officeDocument/2006/relationships">
  <sheetPr>
    <tabColor rgb="FFE15759"/>
    <pageSetUpPr fitToPage="1"/>
  </sheetPr>
  <dimension ref="A1:H4"/>
  <sheetViews>
    <sheetView showGridLines="0" workbookViewId="0">
      <pane ySplit="4" topLeftCell="A5" activePane="bottomLeft" state="frozen"/>
      <selection pane="bottomLeft"/>
    </sheetView>
  </sheetViews>
  <sheetFormatPr defaultRowHeight="15"/>
  <cols>
    <col min="1" max="1" width="12.7109375" customWidth="1"/>
    <col min="2" max="2" width="10.7109375" customWidth="1"/>
    <col min="3" max="3" width="12.7109375" customWidth="1"/>
    <col min="4" max="4" width="11.7109375" customWidth="1"/>
    <col min="5" max="5" width="10.7109375" customWidth="1"/>
    <col min="6" max="6" width="20.7109375" customWidth="1"/>
    <col min="7" max="7" width="8.7109375" customWidth="1"/>
    <col min="8" max="8" width="95.7109375" customWidth="1"/>
  </cols>
  <sheetData>
    <row r="1" spans="1:8" ht="28" customHeight="1">
      <c r="A1" s="17" t="s">
        <v>94</v>
      </c>
      <c r="B1" s="17"/>
      <c r="C1" s="17"/>
      <c r="D1" s="17"/>
      <c r="E1" s="17"/>
      <c r="F1" s="17"/>
      <c r="G1" s="17"/>
      <c r="H1" s="17"/>
    </row>
    <row r="2" spans="1:8">
      <c r="A2" s="18" t="s">
        <v>95</v>
      </c>
      <c r="B2" s="18"/>
      <c r="C2" s="18"/>
      <c r="D2" s="18"/>
      <c r="E2" s="18"/>
      <c r="F2" s="18"/>
      <c r="G2" s="18"/>
      <c r="H2" s="18"/>
    </row>
    <row r="4" spans="1:8">
      <c r="A4" s="16" t="s">
        <v>18</v>
      </c>
      <c r="B4" s="16" t="s">
        <v>5</v>
      </c>
      <c r="C4" s="16" t="s">
        <v>6</v>
      </c>
      <c r="D4" s="16" t="s">
        <v>8</v>
      </c>
      <c r="E4" s="16" t="s">
        <v>9</v>
      </c>
      <c r="F4" s="16" t="s">
        <v>10</v>
      </c>
      <c r="G4" s="16" t="s">
        <v>11</v>
      </c>
      <c r="H4" s="16" t="s">
        <v>96</v>
      </c>
    </row>
  </sheetData>
  <mergeCells count="2">
    <mergeCell ref="A1:H1"/>
    <mergeCell ref="A2:H2"/>
  </mergeCells>
  <conditionalFormatting sqref="A5">
    <cfRule type="cellIs" dxfId="10" priority="1" operator="equal">
      <formula>"PERF_FAIL"</formula>
    </cfRule>
    <cfRule type="cellIs" dxfId="10" priority="2" operator="equal">
      <formula>"ERROR"</formula>
    </cfRule>
    <cfRule type="cellIs" dxfId="11" priority="3" operator="equal">
      <formula>"ABNORMAL"</formula>
    </cfRule>
    <cfRule type="cellIs" dxfId="11" priority="4" operator="equal">
      <formula>"SKIPPED"</formula>
    </cfRule>
  </conditionalFormatting>
  <pageMargins left="0.7" right="0.7" top="0.75" bottom="0.75" header="0.3" footer="0.3"/>
  <pageSetup paperSize="1"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I57"/>
  <sheetViews>
    <sheetView showGridLines="0" workbookViewId="0"/>
  </sheetViews>
  <sheetFormatPr defaultRowHeight="15" x14ac:dyDescent="0.25"/>
  <cols>
    <col min="1" max="1" width="22.7109375" customWidth="1"/>
    <col min="2" max="8" width="13.7109375" customWidth="1"/>
    <col min="9" max="9" width="12.7109375" customWidth="1"/>
  </cols>
  <sheetData>
    <row r="1" spans="1:8" ht="28" customHeight="1" x14ac:dyDescent="0.25">
      <c r="A1" s="17" t="s">
        <v>44</v>
      </c>
      <c r="B1" s="17"/>
      <c r="C1" s="17"/>
      <c r="D1" s="17"/>
      <c r="E1" s="17"/>
      <c r="F1" s="17"/>
      <c r="G1" s="17"/>
      <c r="H1" s="17"/>
    </row>
    <row r="2" spans="1:8" x14ac:dyDescent="0.25">
      <c r="A2" s="18" t="s">
        <v>45</v>
      </c>
      <c r="B2" s="18"/>
      <c r="C2" s="18"/>
      <c r="D2" s="18"/>
      <c r="E2" s="18"/>
      <c r="F2" s="18"/>
      <c r="G2" s="18"/>
      <c r="H2" s="18"/>
    </row>
    <row r="4" spans="1:8" x14ac:dyDescent="0.25">
      <c r="A4" s="13" t="s">
        <v>46</v>
      </c>
      <c r="B4" s="13"/>
      <c r="C4" s="13"/>
      <c r="D4" s="13"/>
      <c r="E4" s="13"/>
      <c r="F4" s="13"/>
      <c r="G4" s="13"/>
      <c r="H4" s="13"/>
    </row>
    <row r="5" spans="1:8" ht="30" customHeight="1" x14ac:dyDescent="0.25">
      <c r="A5" s="22" t="s">
        <v>6</v>
      </c>
      <c r="B5" s="22" t="s">
        <v>47</v>
      </c>
      <c r="C5" s="22" t="s">
        <v>48</v>
      </c>
      <c r="D5" s="22" t="s">
        <v>49</v>
      </c>
      <c r="E5" s="22" t="s">
        <v>50</v>
      </c>
      <c r="F5" s="22" t="s">
        <v>51</v>
      </c>
      <c r="G5" s="22" t="s">
        <v>52</v>
      </c>
      <c r="H5" s="22" t="s">
        <v>53</v>
      </c>
    </row>
    <row r="6" spans="1:8" x14ac:dyDescent="0.25">
      <c r="A6" s="23" t="s">
        <v>54</v>
      </c>
      <c r="B6" s="24">
        <f>COUNTIFS(Results!$B$5:$B$5004,$A6,Results!$N$5:$N$5004,"&lt;&gt;SKIPPED")</f>
        <v>0</v>
      </c>
      <c r="C6" s="24">
        <f>COUNTIFS(Results!$B$5:$B$5004,$A6,Results!$N$5:$N$5004,"PASS")</f>
        <v>0</v>
      </c>
      <c r="D6" s="24">
        <f>B6-C6</f>
        <v>0</v>
      </c>
      <c r="E6" s="24">
        <f>COUNTIFS(Results!$B$5:$B$5004,$A6,Results!$N$5:$N$5004,"SKIPPED")</f>
        <v>0</v>
      </c>
      <c r="F6" s="25" t="str">
        <f>IFERROR(C6/B6,"–")</f>
        <v>–</v>
      </c>
      <c r="G6" s="26" t="str">
        <f>IFERROR(AVERAGEIFS(Results!$H$5:$H$5004,Results!$B$5:$B$5004,$A6,Results!$E$5:$E$5004,"read",Results!$I$5:$I$5004,"&gt;0"),"–")</f>
        <v>–</v>
      </c>
      <c r="H6" s="26" t="str">
        <f>IFERROR(AVERAGEIFS(Results!$H$5:$H$5004,Results!$B$5:$B$5004,$A6,Results!$E$5:$E$5004,"write",Results!$I$5:$I$5004,"&gt;0"),"–")</f>
        <v>–</v>
      </c>
    </row>
    <row r="7" spans="1:8" x14ac:dyDescent="0.25">
      <c r="A7" s="23" t="s">
        <v>55</v>
      </c>
      <c r="B7" s="24">
        <f>COUNTIFS(Results!$B$5:$B$5004,$A7,Results!$N$5:$N$5004,"&lt;&gt;SKIPPED")</f>
        <v>0</v>
      </c>
      <c r="C7" s="24">
        <f>COUNTIFS(Results!$B$5:$B$5004,$A7,Results!$N$5:$N$5004,"PASS")</f>
        <v>0</v>
      </c>
      <c r="D7" s="24">
        <f>B7-C7</f>
        <v>0</v>
      </c>
      <c r="E7" s="24">
        <f>COUNTIFS(Results!$B$5:$B$5004,$A7,Results!$N$5:$N$5004,"SKIPPED")</f>
        <v>0</v>
      </c>
      <c r="F7" s="25" t="str">
        <f>IFERROR(C7/B7,"–")</f>
        <v>–</v>
      </c>
      <c r="G7" s="26" t="str">
        <f>IFERROR(AVERAGEIFS(Results!$H$5:$H$5004,Results!$B$5:$B$5004,$A7,Results!$E$5:$E$5004,"read",Results!$I$5:$I$5004,"&gt;0"),"–")</f>
        <v>–</v>
      </c>
      <c r="H7" s="26" t="str">
        <f>IFERROR(AVERAGEIFS(Results!$H$5:$H$5004,Results!$B$5:$B$5004,$A7,Results!$E$5:$E$5004,"write",Results!$I$5:$I$5004,"&gt;0"),"–")</f>
        <v>–</v>
      </c>
    </row>
    <row r="8" spans="1:8" x14ac:dyDescent="0.25">
      <c r="A8" s="23" t="s">
        <v>56</v>
      </c>
      <c r="B8" s="24">
        <f>COUNTIFS(Results!$B$5:$B$5004,$A8,Results!$N$5:$N$5004,"&lt;&gt;SKIPPED")</f>
        <v>0</v>
      </c>
      <c r="C8" s="24">
        <f>COUNTIFS(Results!$B$5:$B$5004,$A8,Results!$N$5:$N$5004,"PASS")</f>
        <v>0</v>
      </c>
      <c r="D8" s="24">
        <f>B8-C8</f>
        <v>0</v>
      </c>
      <c r="E8" s="24">
        <f>COUNTIFS(Results!$B$5:$B$5004,$A8,Results!$N$5:$N$5004,"SKIPPED")</f>
        <v>0</v>
      </c>
      <c r="F8" s="25" t="str">
        <f>IFERROR(C8/B8,"–")</f>
        <v>–</v>
      </c>
      <c r="G8" s="26" t="str">
        <f>IFERROR(AVERAGEIFS(Results!$H$5:$H$5004,Results!$B$5:$B$5004,$A8,Results!$E$5:$E$5004,"read",Results!$I$5:$I$5004,"&gt;0"),"–")</f>
        <v>–</v>
      </c>
      <c r="H8" s="26" t="str">
        <f>IFERROR(AVERAGEIFS(Results!$H$5:$H$5004,Results!$B$5:$B$5004,$A8,Results!$E$5:$E$5004,"write",Results!$I$5:$I$5004,"&gt;0"),"–")</f>
        <v>–</v>
      </c>
    </row>
    <row r="9" spans="1:8" x14ac:dyDescent="0.25">
      <c r="A9" s="23" t="s">
        <v>57</v>
      </c>
      <c r="B9" s="24">
        <f>COUNTIFS(Results!$B$5:$B$5004,$A9,Results!$N$5:$N$5004,"&lt;&gt;SKIPPED")</f>
        <v>0</v>
      </c>
      <c r="C9" s="24">
        <f>COUNTIFS(Results!$B$5:$B$5004,$A9,Results!$N$5:$N$5004,"PASS")</f>
        <v>0</v>
      </c>
      <c r="D9" s="24">
        <f>B9-C9</f>
        <v>0</v>
      </c>
      <c r="E9" s="24">
        <f>COUNTIFS(Results!$B$5:$B$5004,$A9,Results!$N$5:$N$5004,"SKIPPED")</f>
        <v>0</v>
      </c>
      <c r="F9" s="25" t="str">
        <f>IFERROR(C9/B9,"–")</f>
        <v>–</v>
      </c>
      <c r="G9" s="26" t="str">
        <f>IFERROR(AVERAGEIFS(Results!$H$5:$H$5004,Results!$B$5:$B$5004,$A9,Results!$E$5:$E$5004,"read",Results!$I$5:$I$5004,"&gt;0"),"–")</f>
        <v>–</v>
      </c>
      <c r="H9" s="26" t="str">
        <f>IFERROR(AVERAGEIFS(Results!$H$5:$H$5004,Results!$B$5:$B$5004,$A9,Results!$E$5:$E$5004,"write",Results!$I$5:$I$5004,"&gt;0"),"–")</f>
        <v>–</v>
      </c>
    </row>
    <row r="10" spans="1:8" x14ac:dyDescent="0.25">
      <c r="A10" s="23" t="s">
        <v>58</v>
      </c>
      <c r="B10" s="24">
        <f>COUNTIFS(Results!$B$5:$B$5004,$A10,Results!$N$5:$N$5004,"&lt;&gt;SKIPPED")</f>
        <v>0</v>
      </c>
      <c r="C10" s="24">
        <f>COUNTIFS(Results!$B$5:$B$5004,$A10,Results!$N$5:$N$5004,"PASS")</f>
        <v>0</v>
      </c>
      <c r="D10" s="24">
        <f>B10-C10</f>
        <v>0</v>
      </c>
      <c r="E10" s="24">
        <f>COUNTIFS(Results!$B$5:$B$5004,$A10,Results!$N$5:$N$5004,"SKIPPED")</f>
        <v>0</v>
      </c>
      <c r="F10" s="25" t="str">
        <f>IFERROR(C10/B10,"–")</f>
        <v>–</v>
      </c>
      <c r="G10" s="26" t="str">
        <f>IFERROR(AVERAGEIFS(Results!$H$5:$H$5004,Results!$B$5:$B$5004,$A10,Results!$E$5:$E$5004,"read",Results!$I$5:$I$5004,"&gt;0"),"–")</f>
        <v>–</v>
      </c>
      <c r="H10" s="26" t="str">
        <f>IFERROR(AVERAGEIFS(Results!$H$5:$H$5004,Results!$B$5:$B$5004,$A10,Results!$E$5:$E$5004,"write",Results!$I$5:$I$5004,"&gt;0"),"–")</f>
        <v>–</v>
      </c>
    </row>
    <row r="11" spans="1:8" x14ac:dyDescent="0.25">
      <c r="A11" s="23" t="s">
        <v>59</v>
      </c>
      <c r="B11" s="24">
        <f>COUNTIFS(Results!$B$5:$B$5004,$A11,Results!$N$5:$N$5004,"&lt;&gt;SKIPPED")</f>
        <v>0</v>
      </c>
      <c r="C11" s="24">
        <f>COUNTIFS(Results!$B$5:$B$5004,$A11,Results!$N$5:$N$5004,"PASS")</f>
        <v>0</v>
      </c>
      <c r="D11" s="24">
        <f>B11-C11</f>
        <v>0</v>
      </c>
      <c r="E11" s="24">
        <f>COUNTIFS(Results!$B$5:$B$5004,$A11,Results!$N$5:$N$5004,"SKIPPED")</f>
        <v>0</v>
      </c>
      <c r="F11" s="25" t="str">
        <f>IFERROR(C11/B11,"–")</f>
        <v>–</v>
      </c>
      <c r="G11" s="26" t="str">
        <f>IFERROR(AVERAGEIFS(Results!$H$5:$H$5004,Results!$B$5:$B$5004,$A11,Results!$E$5:$E$5004,"read",Results!$I$5:$I$5004,"&gt;0"),"–")</f>
        <v>–</v>
      </c>
      <c r="H11" s="26" t="str">
        <f>IFERROR(AVERAGEIFS(Results!$H$5:$H$5004,Results!$B$5:$B$5004,$A11,Results!$E$5:$E$5004,"write",Results!$I$5:$I$5004,"&gt;0"),"–")</f>
        <v>–</v>
      </c>
    </row>
    <row r="12" spans="1:8" x14ac:dyDescent="0.25">
      <c r="A12" s="23" t="s">
        <v>60</v>
      </c>
      <c r="B12" s="24">
        <f>COUNTIFS(Results!$B$5:$B$5004,$A12,Results!$N$5:$N$5004,"&lt;&gt;SKIPPED")</f>
        <v>0</v>
      </c>
      <c r="C12" s="24">
        <f>COUNTIFS(Results!$B$5:$B$5004,$A12,Results!$N$5:$N$5004,"PASS")</f>
        <v>0</v>
      </c>
      <c r="D12" s="24">
        <f>B12-C12</f>
        <v>0</v>
      </c>
      <c r="E12" s="24">
        <f>COUNTIFS(Results!$B$5:$B$5004,$A12,Results!$N$5:$N$5004,"SKIPPED")</f>
        <v>0</v>
      </c>
      <c r="F12" s="25" t="str">
        <f>IFERROR(C12/B12,"–")</f>
        <v>–</v>
      </c>
      <c r="G12" s="26" t="str">
        <f>IFERROR(AVERAGEIFS(Results!$H$5:$H$5004,Results!$B$5:$B$5004,$A12,Results!$E$5:$E$5004,"read",Results!$I$5:$I$5004,"&gt;0"),"–")</f>
        <v>–</v>
      </c>
      <c r="H12" s="26" t="str">
        <f>IFERROR(AVERAGEIFS(Results!$H$5:$H$5004,Results!$B$5:$B$5004,$A12,Results!$E$5:$E$5004,"write",Results!$I$5:$I$5004,"&gt;0"),"–")</f>
        <v>–</v>
      </c>
    </row>
    <row r="13" spans="1:8" x14ac:dyDescent="0.25">
      <c r="A13" s="23" t="s">
        <v>61</v>
      </c>
      <c r="B13" s="24">
        <f>COUNTIFS(Results!$B$5:$B$5004,$A13,Results!$N$5:$N$5004,"&lt;&gt;SKIPPED")</f>
        <v>0</v>
      </c>
      <c r="C13" s="24">
        <f>COUNTIFS(Results!$B$5:$B$5004,$A13,Results!$N$5:$N$5004,"PASS")</f>
        <v>0</v>
      </c>
      <c r="D13" s="24">
        <f>B13-C13</f>
        <v>0</v>
      </c>
      <c r="E13" s="24">
        <f>COUNTIFS(Results!$B$5:$B$5004,$A13,Results!$N$5:$N$5004,"SKIPPED")</f>
        <v>0</v>
      </c>
      <c r="F13" s="25" t="str">
        <f>IFERROR(C13/B13,"–")</f>
        <v>–</v>
      </c>
      <c r="G13" s="26" t="str">
        <f>IFERROR(AVERAGEIFS(Results!$H$5:$H$5004,Results!$B$5:$B$5004,$A13,Results!$E$5:$E$5004,"read",Results!$I$5:$I$5004,"&gt;0"),"–")</f>
        <v>–</v>
      </c>
      <c r="H13" s="26" t="str">
        <f>IFERROR(AVERAGEIFS(Results!$H$5:$H$5004,Results!$B$5:$B$5004,$A13,Results!$E$5:$E$5004,"write",Results!$I$5:$I$5004,"&gt;0"),"–")</f>
        <v>–</v>
      </c>
    </row>
    <row r="16" spans="1:8" x14ac:dyDescent="0.25">
      <c r="A16" s="13" t="s">
        <v>62</v>
      </c>
      <c r="B16" s="13"/>
      <c r="C16" s="13"/>
      <c r="D16" s="13"/>
      <c r="E16" s="13"/>
      <c r="F16" s="13"/>
      <c r="G16" s="13"/>
      <c r="H16" s="13"/>
    </row>
    <row r="17" spans="1:9" ht="30" customHeight="1" x14ac:dyDescent="0.25">
      <c r="A17" s="22" t="s">
        <v>8</v>
      </c>
      <c r="B17" s="22" t="s">
        <v>47</v>
      </c>
      <c r="C17" s="22" t="s">
        <v>48</v>
      </c>
      <c r="D17" s="22" t="s">
        <v>49</v>
      </c>
      <c r="E17" s="22" t="s">
        <v>50</v>
      </c>
      <c r="F17" s="22" t="s">
        <v>51</v>
      </c>
      <c r="G17" s="22" t="s">
        <v>52</v>
      </c>
      <c r="H17" s="22" t="s">
        <v>53</v>
      </c>
    </row>
    <row r="18" spans="1:9" x14ac:dyDescent="0.25">
      <c r="A18" s="23" t="s">
        <v>63</v>
      </c>
      <c r="B18" s="24">
        <f>COUNTIFS(Results!$D$5:$D$5004,$A18,Results!$N$5:$N$5004,"&lt;&gt;SKIPPED")</f>
        <v>0</v>
      </c>
      <c r="C18" s="24">
        <f>COUNTIFS(Results!$D$5:$D$5004,$A18,Results!$N$5:$N$5004,"PASS")</f>
        <v>0</v>
      </c>
      <c r="D18" s="24">
        <f>B18-C18</f>
        <v>0</v>
      </c>
      <c r="E18" s="24">
        <f>COUNTIFS(Results!$D$5:$D$5004,$A18,Results!$N$5:$N$5004,"SKIPPED")</f>
        <v>0</v>
      </c>
      <c r="F18" s="25" t="str">
        <f>IFERROR(C18/B18,"–")</f>
        <v>–</v>
      </c>
      <c r="G18" s="26" t="str">
        <f>IFERROR(AVERAGEIFS(Results!$H$5:$H$5004,Results!$D$5:$D$5004,$A18,Results!$E$5:$E$5004,"read",Results!$I$5:$I$5004,"&gt;0"),"–")</f>
        <v>–</v>
      </c>
      <c r="H18" s="26" t="str">
        <f>IFERROR(AVERAGEIFS(Results!$H$5:$H$5004,Results!$D$5:$D$5004,$A18,Results!$E$5:$E$5004,"write",Results!$I$5:$I$5004,"&gt;0"),"–")</f>
        <v>–</v>
      </c>
    </row>
    <row r="19" spans="1:9" x14ac:dyDescent="0.25">
      <c r="A19" s="23" t="s">
        <v>64</v>
      </c>
      <c r="B19" s="24">
        <f>COUNTIFS(Results!$D$5:$D$5004,$A19,Results!$N$5:$N$5004,"&lt;&gt;SKIPPED")</f>
        <v>0</v>
      </c>
      <c r="C19" s="24">
        <f>COUNTIFS(Results!$D$5:$D$5004,$A19,Results!$N$5:$N$5004,"PASS")</f>
        <v>0</v>
      </c>
      <c r="D19" s="24">
        <f>B19-C19</f>
        <v>0</v>
      </c>
      <c r="E19" s="24">
        <f>COUNTIFS(Results!$D$5:$D$5004,$A19,Results!$N$5:$N$5004,"SKIPPED")</f>
        <v>0</v>
      </c>
      <c r="F19" s="25" t="str">
        <f>IFERROR(C19/B19,"–")</f>
        <v>–</v>
      </c>
      <c r="G19" s="26" t="str">
        <f>IFERROR(AVERAGEIFS(Results!$H$5:$H$5004,Results!$D$5:$D$5004,$A19,Results!$E$5:$E$5004,"read",Results!$I$5:$I$5004,"&gt;0"),"–")</f>
        <v>–</v>
      </c>
      <c r="H19" s="26" t="str">
        <f>IFERROR(AVERAGEIFS(Results!$H$5:$H$5004,Results!$D$5:$D$5004,$A19,Results!$E$5:$E$5004,"write",Results!$I$5:$I$5004,"&gt;0"),"–")</f>
        <v>–</v>
      </c>
    </row>
    <row r="20" spans="1:9" x14ac:dyDescent="0.25">
      <c r="A20" s="23" t="s">
        <v>65</v>
      </c>
      <c r="B20" s="24">
        <f>COUNTIFS(Results!$D$5:$D$5004,$A20,Results!$N$5:$N$5004,"&lt;&gt;SKIPPED")</f>
        <v>0</v>
      </c>
      <c r="C20" s="24">
        <f>COUNTIFS(Results!$D$5:$D$5004,$A20,Results!$N$5:$N$5004,"PASS")</f>
        <v>0</v>
      </c>
      <c r="D20" s="24">
        <f>B20-C20</f>
        <v>0</v>
      </c>
      <c r="E20" s="24">
        <f>COUNTIFS(Results!$D$5:$D$5004,$A20,Results!$N$5:$N$5004,"SKIPPED")</f>
        <v>0</v>
      </c>
      <c r="F20" s="25" t="str">
        <f>IFERROR(C20/B20,"–")</f>
        <v>–</v>
      </c>
      <c r="G20" s="26" t="str">
        <f>IFERROR(AVERAGEIFS(Results!$H$5:$H$5004,Results!$D$5:$D$5004,$A20,Results!$E$5:$E$5004,"read",Results!$I$5:$I$5004,"&gt;0"),"–")</f>
        <v>–</v>
      </c>
      <c r="H20" s="26" t="str">
        <f>IFERROR(AVERAGEIFS(Results!$H$5:$H$5004,Results!$D$5:$D$5004,$A20,Results!$E$5:$E$5004,"write",Results!$I$5:$I$5004,"&gt;0"),"–")</f>
        <v>–</v>
      </c>
    </row>
    <row r="21" spans="1:9" x14ac:dyDescent="0.25">
      <c r="A21" s="23" t="s">
        <v>66</v>
      </c>
      <c r="B21" s="24">
        <f>COUNTIFS(Results!$D$5:$D$5004,$A21,Results!$N$5:$N$5004,"&lt;&gt;SKIPPED")</f>
        <v>0</v>
      </c>
      <c r="C21" s="24">
        <f>COUNTIFS(Results!$D$5:$D$5004,$A21,Results!$N$5:$N$5004,"PASS")</f>
        <v>0</v>
      </c>
      <c r="D21" s="24">
        <f>B21-C21</f>
        <v>0</v>
      </c>
      <c r="E21" s="24">
        <f>COUNTIFS(Results!$D$5:$D$5004,$A21,Results!$N$5:$N$5004,"SKIPPED")</f>
        <v>0</v>
      </c>
      <c r="F21" s="25" t="str">
        <f>IFERROR(C21/B21,"–")</f>
        <v>–</v>
      </c>
      <c r="G21" s="26" t="str">
        <f>IFERROR(AVERAGEIFS(Results!$H$5:$H$5004,Results!$D$5:$D$5004,$A21,Results!$E$5:$E$5004,"read",Results!$I$5:$I$5004,"&gt;0"),"–")</f>
        <v>–</v>
      </c>
      <c r="H21" s="26" t="str">
        <f>IFERROR(AVERAGEIFS(Results!$H$5:$H$5004,Results!$D$5:$D$5004,$A21,Results!$E$5:$E$5004,"write",Results!$I$5:$I$5004,"&gt;0"),"–")</f>
        <v>–</v>
      </c>
    </row>
    <row r="22" spans="1:9" x14ac:dyDescent="0.25">
      <c r="A22" s="23" t="s">
        <v>67</v>
      </c>
      <c r="B22" s="24">
        <f>COUNTIFS(Results!$D$5:$D$5004,$A22,Results!$N$5:$N$5004,"&lt;&gt;SKIPPED")</f>
        <v>0</v>
      </c>
      <c r="C22" s="24">
        <f>COUNTIFS(Results!$D$5:$D$5004,$A22,Results!$N$5:$N$5004,"PASS")</f>
        <v>0</v>
      </c>
      <c r="D22" s="24">
        <f>B22-C22</f>
        <v>0</v>
      </c>
      <c r="E22" s="24">
        <f>COUNTIFS(Results!$D$5:$D$5004,$A22,Results!$N$5:$N$5004,"SKIPPED")</f>
        <v>0</v>
      </c>
      <c r="F22" s="25" t="str">
        <f>IFERROR(C22/B22,"–")</f>
        <v>–</v>
      </c>
      <c r="G22" s="26" t="str">
        <f>IFERROR(AVERAGEIFS(Results!$H$5:$H$5004,Results!$D$5:$D$5004,$A22,Results!$E$5:$E$5004,"read",Results!$I$5:$I$5004,"&gt;0"),"–")</f>
        <v>–</v>
      </c>
      <c r="H22" s="26" t="str">
        <f>IFERROR(AVERAGEIFS(Results!$H$5:$H$5004,Results!$D$5:$D$5004,$A22,Results!$E$5:$E$5004,"write",Results!$I$5:$I$5004,"&gt;0"),"–")</f>
        <v>–</v>
      </c>
    </row>
    <row r="25" spans="1:9" x14ac:dyDescent="0.25">
      <c r="A25" s="13" t="s">
        <v>68</v>
      </c>
      <c r="B25" s="13"/>
      <c r="C25" s="13"/>
      <c r="D25" s="13"/>
      <c r="E25" s="13"/>
      <c r="F25" s="13"/>
      <c r="G25" s="13"/>
      <c r="H25" s="13"/>
    </row>
    <row r="26" spans="1:9" ht="30" customHeight="1" x14ac:dyDescent="0.25">
      <c r="A26" s="22" t="s">
        <v>10</v>
      </c>
      <c r="B26" s="22" t="s">
        <v>47</v>
      </c>
      <c r="C26" s="22" t="s">
        <v>48</v>
      </c>
      <c r="D26" s="22" t="s">
        <v>49</v>
      </c>
      <c r="E26" s="22" t="s">
        <v>50</v>
      </c>
      <c r="F26" s="22" t="s">
        <v>51</v>
      </c>
      <c r="G26" s="22" t="s">
        <v>52</v>
      </c>
      <c r="H26" s="22" t="s">
        <v>53</v>
      </c>
      <c r="I26" s="22" t="s">
        <v>79</v>
      </c>
    </row>
    <row r="27" spans="1:9" x14ac:dyDescent="0.25">
      <c r="A27" s="23" t="s">
        <v>69</v>
      </c>
      <c r="B27" s="24">
        <f>COUNTIFS(Results!$F$5:$F$5004,$A27,Results!$N$5:$N$5004,"&lt;&gt;SKIPPED")</f>
        <v>0</v>
      </c>
      <c r="C27" s="24">
        <f>COUNTIFS(Results!$F$5:$F$5004,$A27,Results!$N$5:$N$5004,"PASS")</f>
        <v>0</v>
      </c>
      <c r="D27" s="24">
        <f>B27-C27</f>
        <v>0</v>
      </c>
      <c r="E27" s="24">
        <f>COUNTIFS(Results!$F$5:$F$5004,$A27,Results!$N$5:$N$5004,"SKIPPED")</f>
        <v>0</v>
      </c>
      <c r="F27" s="25" t="str">
        <f>IFERROR(C27/B27,"–")</f>
        <v>–</v>
      </c>
      <c r="G27" s="26" t="str">
        <f>IFERROR(AVERAGEIFS(Results!$H$5:$H$5004,Results!$F$5:$F$5004,$A27,Results!$E$5:$E$5004,"read",Results!$I$5:$I$5004,"&gt;0"),"–")</f>
        <v>–</v>
      </c>
      <c r="H27" s="26" t="str">
        <f>IFERROR(AVERAGEIFS(Results!$H$5:$H$5004,Results!$F$5:$F$5004,$A27,Results!$E$5:$E$5004,"write",Results!$I$5:$I$5004,"&gt;0"),"–")</f>
        <v>–</v>
      </c>
      <c r="I27" s="27" t="s">
        <v>70</v>
      </c>
    </row>
    <row r="28" spans="1:9" x14ac:dyDescent="0.25">
      <c r="A28" s="23" t="s">
        <v>71</v>
      </c>
      <c r="B28" s="24">
        <f>COUNTIFS(Results!$F$5:$F$5004,$A28,Results!$N$5:$N$5004,"&lt;&gt;SKIPPED")</f>
        <v>0</v>
      </c>
      <c r="C28" s="24">
        <f>COUNTIFS(Results!$F$5:$F$5004,$A28,Results!$N$5:$N$5004,"PASS")</f>
        <v>0</v>
      </c>
      <c r="D28" s="24">
        <f>B28-C28</f>
        <v>0</v>
      </c>
      <c r="E28" s="24">
        <f>COUNTIFS(Results!$F$5:$F$5004,$A28,Results!$N$5:$N$5004,"SKIPPED")</f>
        <v>0</v>
      </c>
      <c r="F28" s="25" t="str">
        <f>IFERROR(C28/B28,"–")</f>
        <v>–</v>
      </c>
      <c r="G28" s="26" t="str">
        <f>IFERROR(AVERAGEIFS(Results!$H$5:$H$5004,Results!$F$5:$F$5004,$A28,Results!$E$5:$E$5004,"read",Results!$I$5:$I$5004,"&gt;0"),"–")</f>
        <v>–</v>
      </c>
      <c r="H28" s="26" t="str">
        <f>IFERROR(AVERAGEIFS(Results!$H$5:$H$5004,Results!$F$5:$F$5004,$A28,Results!$E$5:$E$5004,"write",Results!$I$5:$I$5004,"&gt;0"),"–")</f>
        <v>–</v>
      </c>
      <c r="I28" s="27" t="s">
        <v>72</v>
      </c>
    </row>
    <row r="29" spans="1:9" x14ac:dyDescent="0.25">
      <c r="A29" s="23" t="s">
        <v>73</v>
      </c>
      <c r="B29" s="24">
        <f>COUNTIFS(Results!$F$5:$F$5004,$A29,Results!$N$5:$N$5004,"&lt;&gt;SKIPPED")</f>
        <v>0</v>
      </c>
      <c r="C29" s="24">
        <f>COUNTIFS(Results!$F$5:$F$5004,$A29,Results!$N$5:$N$5004,"PASS")</f>
        <v>0</v>
      </c>
      <c r="D29" s="24">
        <f>B29-C29</f>
        <v>0</v>
      </c>
      <c r="E29" s="24">
        <f>COUNTIFS(Results!$F$5:$F$5004,$A29,Results!$N$5:$N$5004,"SKIPPED")</f>
        <v>0</v>
      </c>
      <c r="F29" s="25" t="str">
        <f>IFERROR(C29/B29,"–")</f>
        <v>–</v>
      </c>
      <c r="G29" s="26" t="str">
        <f>IFERROR(AVERAGEIFS(Results!$H$5:$H$5004,Results!$F$5:$F$5004,$A29,Results!$E$5:$E$5004,"read",Results!$I$5:$I$5004,"&gt;0"),"–")</f>
        <v>–</v>
      </c>
      <c r="H29" s="26" t="str">
        <f>IFERROR(AVERAGEIFS(Results!$H$5:$H$5004,Results!$F$5:$F$5004,$A29,Results!$E$5:$E$5004,"write",Results!$I$5:$I$5004,"&gt;0"),"–")</f>
        <v>–</v>
      </c>
      <c r="I29" s="27" t="s">
        <v>74</v>
      </c>
    </row>
    <row r="30" spans="1:9" x14ac:dyDescent="0.25">
      <c r="A30" s="23" t="s">
        <v>75</v>
      </c>
      <c r="B30" s="24">
        <f>COUNTIFS(Results!$F$5:$F$5004,$A30,Results!$N$5:$N$5004,"&lt;&gt;SKIPPED")</f>
        <v>0</v>
      </c>
      <c r="C30" s="24">
        <f>COUNTIFS(Results!$F$5:$F$5004,$A30,Results!$N$5:$N$5004,"PASS")</f>
        <v>0</v>
      </c>
      <c r="D30" s="24">
        <f>B30-C30</f>
        <v>0</v>
      </c>
      <c r="E30" s="24">
        <f>COUNTIFS(Results!$F$5:$F$5004,$A30,Results!$N$5:$N$5004,"SKIPPED")</f>
        <v>0</v>
      </c>
      <c r="F30" s="25" t="str">
        <f>IFERROR(C30/B30,"–")</f>
        <v>–</v>
      </c>
      <c r="G30" s="26" t="str">
        <f>IFERROR(AVERAGEIFS(Results!$H$5:$H$5004,Results!$F$5:$F$5004,$A30,Results!$E$5:$E$5004,"read",Results!$I$5:$I$5004,"&gt;0"),"–")</f>
        <v>–</v>
      </c>
      <c r="H30" s="26" t="str">
        <f>IFERROR(AVERAGEIFS(Results!$H$5:$H$5004,Results!$F$5:$F$5004,$A30,Results!$E$5:$E$5004,"write",Results!$I$5:$I$5004,"&gt;0"),"–")</f>
        <v>–</v>
      </c>
      <c r="I30" s="27" t="s">
        <v>76</v>
      </c>
    </row>
    <row r="31" spans="1:9" x14ac:dyDescent="0.25">
      <c r="A31" s="23" t="s">
        <v>77</v>
      </c>
      <c r="B31" s="24">
        <f>COUNTIFS(Results!$F$5:$F$5004,$A31,Results!$N$5:$N$5004,"&lt;&gt;SKIPPED")</f>
        <v>0</v>
      </c>
      <c r="C31" s="24">
        <f>COUNTIFS(Results!$F$5:$F$5004,$A31,Results!$N$5:$N$5004,"PASS")</f>
        <v>0</v>
      </c>
      <c r="D31" s="24">
        <f>B31-C31</f>
        <v>0</v>
      </c>
      <c r="E31" s="24">
        <f>COUNTIFS(Results!$F$5:$F$5004,$A31,Results!$N$5:$N$5004,"SKIPPED")</f>
        <v>0</v>
      </c>
      <c r="F31" s="25" t="str">
        <f>IFERROR(C31/B31,"–")</f>
        <v>–</v>
      </c>
      <c r="G31" s="26" t="str">
        <f>IFERROR(AVERAGEIFS(Results!$H$5:$H$5004,Results!$F$5:$F$5004,$A31,Results!$E$5:$E$5004,"read",Results!$I$5:$I$5004,"&gt;0"),"–")</f>
        <v>–</v>
      </c>
      <c r="H31" s="26" t="str">
        <f>IFERROR(AVERAGEIFS(Results!$H$5:$H$5004,Results!$F$5:$F$5004,$A31,Results!$E$5:$E$5004,"write",Results!$I$5:$I$5004,"&gt;0"),"–")</f>
        <v>–</v>
      </c>
      <c r="I31" s="27" t="s">
        <v>78</v>
      </c>
    </row>
    <row r="34" spans="1:8" x14ac:dyDescent="0.25">
      <c r="A34" s="13" t="s">
        <v>80</v>
      </c>
      <c r="B34" s="13"/>
      <c r="C34" s="13"/>
      <c r="D34" s="13"/>
      <c r="E34" s="13"/>
      <c r="F34" s="13"/>
      <c r="G34" s="13"/>
      <c r="H34" s="13"/>
    </row>
    <row r="35" spans="1:8" ht="30" customHeight="1" x14ac:dyDescent="0.25">
      <c r="A35" s="22" t="s">
        <v>5</v>
      </c>
      <c r="B35" s="22" t="s">
        <v>47</v>
      </c>
      <c r="C35" s="22" t="s">
        <v>48</v>
      </c>
      <c r="D35" s="22" t="s">
        <v>49</v>
      </c>
      <c r="E35" s="22" t="s">
        <v>50</v>
      </c>
      <c r="F35" s="22" t="s">
        <v>51</v>
      </c>
      <c r="G35" s="22" t="s">
        <v>52</v>
      </c>
      <c r="H35" s="22" t="s">
        <v>53</v>
      </c>
    </row>
    <row r="36" spans="1:8" x14ac:dyDescent="0.25">
      <c r="A36" s="23" t="s">
        <v>81</v>
      </c>
      <c r="B36" s="24">
        <f>COUNTIFS(Results!$A$5:$A$5004,$A36,Results!$N$5:$N$5004,"&lt;&gt;SKIPPED")</f>
        <v>0</v>
      </c>
      <c r="C36" s="24">
        <f>COUNTIFS(Results!$A$5:$A$5004,$A36,Results!$N$5:$N$5004,"PASS")</f>
        <v>0</v>
      </c>
      <c r="D36" s="24">
        <f>B36-C36</f>
        <v>0</v>
      </c>
      <c r="E36" s="24">
        <f>COUNTIFS(Results!$A$5:$A$5004,$A36,Results!$N$5:$N$5004,"SKIPPED")</f>
        <v>0</v>
      </c>
      <c r="F36" s="25" t="str">
        <f>IFERROR(C36/B36,"–")</f>
        <v>–</v>
      </c>
      <c r="G36" s="26" t="str">
        <f>IFERROR(AVERAGEIFS(Results!$H$5:$H$5004,Results!$A$5:$A$5004,$A36,Results!$E$5:$E$5004,"read",Results!$I$5:$I$5004,"&gt;0"),"–")</f>
        <v>–</v>
      </c>
      <c r="H36" s="26" t="str">
        <f>IFERROR(AVERAGEIFS(Results!$H$5:$H$5004,Results!$A$5:$A$5004,$A36,Results!$E$5:$E$5004,"write",Results!$I$5:$I$5004,"&gt;0"),"–")</f>
        <v>–</v>
      </c>
    </row>
    <row r="37" spans="1:8" x14ac:dyDescent="0.25">
      <c r="A37" s="23" t="s">
        <v>82</v>
      </c>
      <c r="B37" s="24">
        <f>COUNTIFS(Results!$A$5:$A$5004,$A37,Results!$N$5:$N$5004,"&lt;&gt;SKIPPED")</f>
        <v>0</v>
      </c>
      <c r="C37" s="24">
        <f>COUNTIFS(Results!$A$5:$A$5004,$A37,Results!$N$5:$N$5004,"PASS")</f>
        <v>0</v>
      </c>
      <c r="D37" s="24">
        <f>B37-C37</f>
        <v>0</v>
      </c>
      <c r="E37" s="24">
        <f>COUNTIFS(Results!$A$5:$A$5004,$A37,Results!$N$5:$N$5004,"SKIPPED")</f>
        <v>0</v>
      </c>
      <c r="F37" s="25" t="str">
        <f>IFERROR(C37/B37,"–")</f>
        <v>–</v>
      </c>
      <c r="G37" s="26" t="str">
        <f>IFERROR(AVERAGEIFS(Results!$H$5:$H$5004,Results!$A$5:$A$5004,$A37,Results!$E$5:$E$5004,"read",Results!$I$5:$I$5004,"&gt;0"),"–")</f>
        <v>–</v>
      </c>
      <c r="H37" s="26" t="str">
        <f>IFERROR(AVERAGEIFS(Results!$H$5:$H$5004,Results!$A$5:$A$5004,$A37,Results!$E$5:$E$5004,"write",Results!$I$5:$I$5004,"&gt;0"),"–")</f>
        <v>–</v>
      </c>
    </row>
    <row r="40" spans="1:8" x14ac:dyDescent="0.25">
      <c r="A40" s="13" t="s">
        <v>83</v>
      </c>
      <c r="B40" s="13"/>
      <c r="C40" s="13"/>
      <c r="D40" s="13"/>
      <c r="E40" s="13"/>
      <c r="F40" s="13"/>
      <c r="G40" s="13"/>
      <c r="H40" s="13"/>
    </row>
    <row r="41" spans="1:8" ht="30" customHeight="1" x14ac:dyDescent="0.25">
      <c r="A41" s="22" t="s">
        <v>7</v>
      </c>
      <c r="B41" s="22" t="s">
        <v>47</v>
      </c>
      <c r="C41" s="22" t="s">
        <v>48</v>
      </c>
      <c r="D41" s="22" t="s">
        <v>49</v>
      </c>
      <c r="E41" s="22" t="s">
        <v>50</v>
      </c>
      <c r="F41" s="22" t="s">
        <v>51</v>
      </c>
      <c r="G41" s="22" t="s">
        <v>52</v>
      </c>
      <c r="H41" s="22" t="s">
        <v>53</v>
      </c>
    </row>
    <row r="42" spans="1:8" x14ac:dyDescent="0.25">
      <c r="A42" s="23" t="s">
        <v>84</v>
      </c>
      <c r="B42" s="24">
        <f>COUNTIFS(Results!$C$5:$C$5004,$A42,Results!$N$5:$N$5004,"&lt;&gt;SKIPPED")</f>
        <v>0</v>
      </c>
      <c r="C42" s="24">
        <f>COUNTIFS(Results!$C$5:$C$5004,$A42,Results!$N$5:$N$5004,"PASS")</f>
        <v>0</v>
      </c>
      <c r="D42" s="24">
        <f>B42-C42</f>
        <v>0</v>
      </c>
      <c r="E42" s="24">
        <f>COUNTIFS(Results!$C$5:$C$5004,$A42,Results!$N$5:$N$5004,"SKIPPED")</f>
        <v>0</v>
      </c>
      <c r="F42" s="25" t="str">
        <f>IFERROR(C42/B42,"–")</f>
        <v>–</v>
      </c>
      <c r="G42" s="26" t="str">
        <f>IFERROR(AVERAGEIFS(Results!$H$5:$H$5004,Results!$C$5:$C$5004,$A42,Results!$E$5:$E$5004,"read",Results!$I$5:$I$5004,"&gt;0"),"–")</f>
        <v>–</v>
      </c>
      <c r="H42" s="26" t="str">
        <f>IFERROR(AVERAGEIFS(Results!$H$5:$H$5004,Results!$C$5:$C$5004,$A42,Results!$E$5:$E$5004,"write",Results!$I$5:$I$5004,"&gt;0"),"–")</f>
        <v>–</v>
      </c>
    </row>
    <row r="43" spans="1:8" x14ac:dyDescent="0.25">
      <c r="A43" s="23" t="s">
        <v>85</v>
      </c>
      <c r="B43" s="24">
        <f>COUNTIFS(Results!$C$5:$C$5004,$A43,Results!$N$5:$N$5004,"&lt;&gt;SKIPPED")</f>
        <v>0</v>
      </c>
      <c r="C43" s="24">
        <f>COUNTIFS(Results!$C$5:$C$5004,$A43,Results!$N$5:$N$5004,"PASS")</f>
        <v>0</v>
      </c>
      <c r="D43" s="24">
        <f>B43-C43</f>
        <v>0</v>
      </c>
      <c r="E43" s="24">
        <f>COUNTIFS(Results!$C$5:$C$5004,$A43,Results!$N$5:$N$5004,"SKIPPED")</f>
        <v>0</v>
      </c>
      <c r="F43" s="25" t="str">
        <f>IFERROR(C43/B43,"–")</f>
        <v>–</v>
      </c>
      <c r="G43" s="26" t="str">
        <f>IFERROR(AVERAGEIFS(Results!$H$5:$H$5004,Results!$C$5:$C$5004,$A43,Results!$E$5:$E$5004,"read",Results!$I$5:$I$5004,"&gt;0"),"–")</f>
        <v>–</v>
      </c>
      <c r="H43" s="26" t="str">
        <f>IFERROR(AVERAGEIFS(Results!$H$5:$H$5004,Results!$C$5:$C$5004,$A43,Results!$E$5:$E$5004,"write",Results!$I$5:$I$5004,"&gt;0"),"–")</f>
        <v>–</v>
      </c>
    </row>
    <row r="46" spans="1:8" x14ac:dyDescent="0.25">
      <c r="A46" s="13" t="s">
        <v>86</v>
      </c>
      <c r="B46" s="13"/>
      <c r="C46" s="13"/>
      <c r="D46" s="13"/>
      <c r="E46" s="13"/>
      <c r="F46" s="13"/>
      <c r="G46" s="13"/>
      <c r="H46" s="13"/>
    </row>
    <row r="47" spans="1:8" x14ac:dyDescent="0.25">
      <c r="A47" s="22" t="s">
        <v>87</v>
      </c>
      <c r="B47" s="22" t="s">
        <v>88</v>
      </c>
    </row>
    <row r="48" spans="1:8" x14ac:dyDescent="0.25">
      <c r="A48" s="23" t="s">
        <v>48</v>
      </c>
      <c r="B48" s="24">
        <f>COUNTIF(Results!$N$5:$N$5004,"PASS")</f>
        <v>0</v>
      </c>
    </row>
    <row r="49" spans="1:8" x14ac:dyDescent="0.25">
      <c r="A49" s="23" t="s">
        <v>49</v>
      </c>
      <c r="B49" s="24">
        <f>COUNTA(Results!$N$5:$N$5004)-COUNTIF(Results!$N$5:$N$5004,"SKIPPED")-B48</f>
        <v>0</v>
      </c>
    </row>
    <row r="50" spans="1:8" x14ac:dyDescent="0.25">
      <c r="A50" s="23" t="s">
        <v>50</v>
      </c>
      <c r="B50" s="24">
        <f>COUNTIF(Results!$N$5:$N$5004,"SKIPPED")</f>
        <v>0</v>
      </c>
    </row>
    <row r="53" spans="1:8" x14ac:dyDescent="0.25">
      <c r="A53" s="13" t="s">
        <v>89</v>
      </c>
      <c r="B53" s="13"/>
      <c r="C53" s="13"/>
      <c r="D53" s="13"/>
      <c r="E53" s="13"/>
      <c r="F53" s="13"/>
      <c r="G53" s="13"/>
      <c r="H53" s="13"/>
    </row>
    <row r="54" spans="1:8" x14ac:dyDescent="0.25">
      <c r="A54" s="22" t="s">
        <v>11</v>
      </c>
      <c r="B54" s="22" t="s">
        <v>90</v>
      </c>
      <c r="C54" s="22" t="s">
        <v>52</v>
      </c>
      <c r="D54" s="22" t="s">
        <v>53</v>
      </c>
    </row>
    <row r="55" spans="1:8" x14ac:dyDescent="0.25">
      <c r="A55" s="23" t="s">
        <v>91</v>
      </c>
      <c r="B55" s="28">
        <v>1</v>
      </c>
      <c r="C55" s="26" t="str">
        <f>IFERROR(AVERAGEIFS(Results!$H$5:$H$5004,Results!$E$5:$E$5004,"read",Results!$G$5:$G$5004,$B55,Results!$I$5:$I$5004,"&gt;0"),"–")</f>
        <v>–</v>
      </c>
      <c r="D55" s="26" t="str">
        <f>IFERROR(AVERAGEIFS(Results!$H$5:$H$5004,Results!$E$5:$E$5004,"write",Results!$G$5:$G$5004,$B55,Results!$I$5:$I$5004,"&gt;0"),"–")</f>
        <v>–</v>
      </c>
    </row>
    <row r="56" spans="1:8" x14ac:dyDescent="0.25">
      <c r="A56" s="23" t="s">
        <v>92</v>
      </c>
      <c r="B56" s="28">
        <v>2</v>
      </c>
      <c r="C56" s="26" t="str">
        <f>IFERROR(AVERAGEIFS(Results!$H$5:$H$5004,Results!$E$5:$E$5004,"read",Results!$G$5:$G$5004,$B56,Results!$I$5:$I$5004,"&gt;0"),"–")</f>
        <v>–</v>
      </c>
      <c r="D56" s="26" t="str">
        <f>IFERROR(AVERAGEIFS(Results!$H$5:$H$5004,Results!$E$5:$E$5004,"write",Results!$G$5:$G$5004,$B56,Results!$I$5:$I$5004,"&gt;0"),"–")</f>
        <v>–</v>
      </c>
    </row>
    <row r="57" spans="1:8" x14ac:dyDescent="0.25">
      <c r="A57" s="23" t="s">
        <v>93</v>
      </c>
      <c r="B57" s="28">
        <v>3</v>
      </c>
      <c r="C57" s="26" t="str">
        <f>IFERROR(AVERAGEIFS(Results!$H$5:$H$5004,Results!$E$5:$E$5004,"read",Results!$G$5:$G$5004,$B57,Results!$I$5:$I$5004,"&gt;0"),"–")</f>
        <v>–</v>
      </c>
      <c r="D57" s="26" t="str">
        <f>IFERROR(AVERAGEIFS(Results!$H$5:$H$5004,Results!$E$5:$E$5004,"write",Results!$G$5:$G$5004,$B57,Results!$I$5:$I$5004,"&gt;0"),"–")</f>
        <v>–</v>
      </c>
    </row>
  </sheetData>
  <mergeCells count="9">
    <mergeCell ref="A1:H1"/>
    <mergeCell ref="A2:H2"/>
    <mergeCell ref="A4:H4"/>
    <mergeCell ref="A16:H16"/>
    <mergeCell ref="A25:H25"/>
    <mergeCell ref="A34:H34"/>
    <mergeCell ref="A40:H40"/>
    <mergeCell ref="A46:H46"/>
    <mergeCell ref="A53:H53"/>
  </mergeCells>
  <conditionalFormatting sqref="F18:F22">
    <cfRule type="colorScale" priority="4">
      <colorScale>
        <cfvo type="num" val="0"/>
        <cfvo type="num" val="0.5"/>
        <cfvo type="num" val="1"/>
        <color rgb="FFF8CBAD"/>
        <color rgb="FFFFE699"/>
        <color rgb="FFC6E0B4"/>
      </colorScale>
    </cfRule>
  </conditionalFormatting>
  <conditionalFormatting sqref="F27:F31">
    <cfRule type="colorScale" priority="7">
      <colorScale>
        <cfvo type="num" val="0"/>
        <cfvo type="num" val="0.5"/>
        <cfvo type="num" val="1"/>
        <color rgb="FFF8CBAD"/>
        <color rgb="FFFFE699"/>
        <color rgb="FFC6E0B4"/>
      </colorScale>
    </cfRule>
  </conditionalFormatting>
  <conditionalFormatting sqref="F36:F37">
    <cfRule type="colorScale" priority="10">
      <colorScale>
        <cfvo type="num" val="0"/>
        <cfvo type="num" val="0.5"/>
        <cfvo type="num" val="1"/>
        <color rgb="FFF8CBAD"/>
        <color rgb="FFFFE699"/>
        <color rgb="FFC6E0B4"/>
      </colorScale>
    </cfRule>
  </conditionalFormatting>
  <conditionalFormatting sqref="F42:F43">
    <cfRule type="colorScale" priority="13">
      <colorScale>
        <cfvo type="num" val="0"/>
        <cfvo type="num" val="0.5"/>
        <cfvo type="num" val="1"/>
        <color rgb="FFF8CBAD"/>
        <color rgb="FFFFE699"/>
        <color rgb="FFC6E0B4"/>
      </colorScale>
    </cfRule>
  </conditionalFormatting>
  <conditionalFormatting sqref="F6:F13">
    <cfRule type="colorScale" priority="1">
      <colorScale>
        <cfvo type="num" val="0"/>
        <cfvo type="num" val="0.5"/>
        <cfvo type="num" val="1"/>
        <color rgb="FFF8CBAD"/>
        <color rgb="FFFFE699"/>
        <color rgb="FFC6E0B4"/>
      </colorScale>
    </cfRule>
  </conditionalFormatting>
  <conditionalFormatting sqref="G18:G22">
    <cfRule type="dataBar" priority="5">
      <dataBar>
        <cfvo type="num" val="0"/>
        <cfvo type="max"/>
        <color rgb="FFA9B8D6"/>
      </dataBar>
      <extLst>
        <ext xmlns:x14="http://schemas.microsoft.com/office/spreadsheetml/2009/9/main" uri="{B025F937-C7B1-47D3-B67F-A62EFF666E3E}">
          <x14:id>{DA7ABA51-AAAA-BBBB-0004-000000000001}</x14:id>
        </ext>
      </extLst>
    </cfRule>
  </conditionalFormatting>
  <conditionalFormatting sqref="G27:G31">
    <cfRule type="dataBar" priority="8">
      <dataBar>
        <cfvo type="num" val="0"/>
        <cfvo type="max"/>
        <color rgb="FFA9B8D6"/>
      </dataBar>
      <extLst>
        <ext xmlns:x14="http://schemas.microsoft.com/office/spreadsheetml/2009/9/main" uri="{B025F937-C7B1-47D3-B67F-A62EFF666E3E}">
          <x14:id>{DA7ABA51-AAAA-BBBB-0004-000000000002}</x14:id>
        </ext>
      </extLst>
    </cfRule>
  </conditionalFormatting>
  <conditionalFormatting sqref="G36:G37">
    <cfRule type="dataBar" priority="11">
      <dataBar>
        <cfvo type="num" val="0"/>
        <cfvo type="max"/>
        <color rgb="FFA9B8D6"/>
      </dataBar>
      <extLst>
        <ext xmlns:x14="http://schemas.microsoft.com/office/spreadsheetml/2009/9/main" uri="{B025F937-C7B1-47D3-B67F-A62EFF666E3E}">
          <x14:id>{DA7ABA51-AAAA-BBBB-0004-000000000003}</x14:id>
        </ext>
      </extLst>
    </cfRule>
  </conditionalFormatting>
  <conditionalFormatting sqref="G42:G43">
    <cfRule type="dataBar" priority="14">
      <dataBar>
        <cfvo type="num" val="0"/>
        <cfvo type="max"/>
        <color rgb="FFA9B8D6"/>
      </dataBar>
      <extLst>
        <ext xmlns:x14="http://schemas.microsoft.com/office/spreadsheetml/2009/9/main" uri="{B025F937-C7B1-47D3-B67F-A62EFF666E3E}">
          <x14:id>{DA7ABA51-AAAA-BBBB-0004-000000000004}</x14:id>
        </ext>
      </extLst>
    </cfRule>
  </conditionalFormatting>
  <conditionalFormatting sqref="G6:G13">
    <cfRule type="dataBar" priority="2">
      <dataBar>
        <cfvo type="num" val="0"/>
        <cfvo type="max"/>
        <color rgb="FFA9B8D6"/>
      </dataBar>
      <extLst>
        <ext xmlns:x14="http://schemas.microsoft.com/office/spreadsheetml/2009/9/main" uri="{B025F937-C7B1-47D3-B67F-A62EFF666E3E}">
          <x14:id>{DA7ABA51-AAAA-BBBB-0004-000000000005}</x14:id>
        </ext>
      </extLst>
    </cfRule>
  </conditionalFormatting>
  <conditionalFormatting sqref="H18:H22">
    <cfRule type="dataBar" priority="6">
      <dataBar>
        <cfvo type="num" val="0"/>
        <cfvo type="max"/>
        <color rgb="FFE8D28A"/>
      </dataBar>
      <extLst>
        <ext xmlns:x14="http://schemas.microsoft.com/office/spreadsheetml/2009/9/main" uri="{B025F937-C7B1-47D3-B67F-A62EFF666E3E}">
          <x14:id>{DA7ABA51-AAAA-BBBB-0004-000000000006}</x14:id>
        </ext>
      </extLst>
    </cfRule>
  </conditionalFormatting>
  <conditionalFormatting sqref="H27:H31">
    <cfRule type="dataBar" priority="9">
      <dataBar>
        <cfvo type="num" val="0"/>
        <cfvo type="max"/>
        <color rgb="FFE8D28A"/>
      </dataBar>
      <extLst>
        <ext xmlns:x14="http://schemas.microsoft.com/office/spreadsheetml/2009/9/main" uri="{B025F937-C7B1-47D3-B67F-A62EFF666E3E}">
          <x14:id>{DA7ABA51-AAAA-BBBB-0004-000000000007}</x14:id>
        </ext>
      </extLst>
    </cfRule>
  </conditionalFormatting>
  <conditionalFormatting sqref="H36:H37">
    <cfRule type="dataBar" priority="12">
      <dataBar>
        <cfvo type="num" val="0"/>
        <cfvo type="max"/>
        <color rgb="FFE8D28A"/>
      </dataBar>
      <extLst>
        <ext xmlns:x14="http://schemas.microsoft.com/office/spreadsheetml/2009/9/main" uri="{B025F937-C7B1-47D3-B67F-A62EFF666E3E}">
          <x14:id>{DA7ABA51-AAAA-BBBB-0004-000000000008}</x14:id>
        </ext>
      </extLst>
    </cfRule>
  </conditionalFormatting>
  <conditionalFormatting sqref="H42:H43">
    <cfRule type="dataBar" priority="15">
      <dataBar>
        <cfvo type="num" val="0"/>
        <cfvo type="max"/>
        <color rgb="FFE8D28A"/>
      </dataBar>
      <extLst>
        <ext xmlns:x14="http://schemas.microsoft.com/office/spreadsheetml/2009/9/main" uri="{B025F937-C7B1-47D3-B67F-A62EFF666E3E}">
          <x14:id>{DA7ABA51-AAAA-BBBB-0004-000000000009}</x14:id>
        </ext>
      </extLst>
    </cfRule>
  </conditionalFormatting>
  <conditionalFormatting sqref="H6:H13">
    <cfRule type="dataBar" priority="3">
      <dataBar>
        <cfvo type="num" val="0"/>
        <cfvo type="max"/>
        <color rgb="FFE8D28A"/>
      </dataBar>
      <extLst>
        <ext xmlns:x14="http://schemas.microsoft.com/office/spreadsheetml/2009/9/main" uri="{B025F937-C7B1-47D3-B67F-A62EFF666E3E}">
          <x14:id>{DA7ABA51-AAAA-BBBB-0004-00000000000A}</x14:id>
        </ext>
      </extLst>
    </cfRule>
  </conditionalFormatting>
  <pageMargins left="0.4" right="0.4" top="0.5" bottom="0.5" header="0.3" footer="0.3"/>
  <pageSetup paperSize="1" scale="85" orientation="landscape"/>
  <rowBreaks count="1" manualBreakCount="1">
    <brk id="33" max="16383" man="1"/>
  </rowBreaks>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G18:G22</xm:sqref>
        </x14:conditionalFormatting>
        <x14:conditionalFormatting xmlns:xm="http://schemas.microsoft.com/office/excel/2006/main">
          <x14:cfRule type="dataBar" id="{DA7ABA51-AAAA-BBBB-0004-000000000002}">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G27:G31</xm:sqref>
        </x14:conditionalFormatting>
        <x14:conditionalFormatting xmlns:xm="http://schemas.microsoft.com/office/excel/2006/main">
          <x14:cfRule type="dataBar" id="{DA7ABA51-AAAA-BBBB-0004-000000000003}">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G36:G37</xm:sqref>
        </x14:conditionalFormatting>
        <x14:conditionalFormatting xmlns:xm="http://schemas.microsoft.com/office/excel/2006/main">
          <x14:cfRule type="dataBar" id="{DA7ABA51-AAAA-BBBB-0004-000000000004}">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G42:G43</xm:sqref>
        </x14:conditionalFormatting>
        <x14:conditionalFormatting xmlns:xm="http://schemas.microsoft.com/office/excel/2006/main">
          <x14:cfRule type="dataBar" id="{DA7ABA51-AAAA-BBBB-0004-000000000005}">
            <x14:dataBar minLength="0" maxLength="100" border="1" gradient="0" negativeBarBorderColorSameAsPositive="0">
              <x14:cfvo type="num">
                <xm:f>0</xm:f>
              </x14:cfvo>
              <x14:cfvo type="autoMax"/>
              <x14:borderColor rgb="FFA9B8D6"/>
              <x14:negativeFillColor rgb="FFFF0000"/>
              <x14:negativeBorderColor rgb="FFFF0000"/>
              <x14:axisColor rgb="FF000000"/>
            </x14:dataBar>
          </x14:cfRule>
          <xm:sqref>G6:G13</xm:sqref>
        </x14:conditionalFormatting>
        <x14:conditionalFormatting xmlns:xm="http://schemas.microsoft.com/office/excel/2006/main">
          <x14:cfRule type="dataBar" id="{DA7ABA51-AAAA-BBBB-0004-000000000006}">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H18:H22</xm:sqref>
        </x14:conditionalFormatting>
        <x14:conditionalFormatting xmlns:xm="http://schemas.microsoft.com/office/excel/2006/main">
          <x14:cfRule type="dataBar" id="{DA7ABA51-AAAA-BBBB-0004-000000000007}">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H27:H31</xm:sqref>
        </x14:conditionalFormatting>
        <x14:conditionalFormatting xmlns:xm="http://schemas.microsoft.com/office/excel/2006/main">
          <x14:cfRule type="dataBar" id="{DA7ABA51-AAAA-BBBB-0004-000000000008}">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H36:H37</xm:sqref>
        </x14:conditionalFormatting>
        <x14:conditionalFormatting xmlns:xm="http://schemas.microsoft.com/office/excel/2006/main">
          <x14:cfRule type="dataBar" id="{DA7ABA51-AAAA-BBBB-0004-000000000009}">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H42:H43</xm:sqref>
        </x14:conditionalFormatting>
        <x14:conditionalFormatting xmlns:xm="http://schemas.microsoft.com/office/excel/2006/main">
          <x14:cfRule type="dataBar" id="{DA7ABA51-AAAA-BBBB-0004-00000000000A}">
            <x14:dataBar minLength="0" maxLength="100" border="1" gradient="0" negativeBarBorderColorSameAsPositive="0">
              <x14:cfvo type="num">
                <xm:f>0</xm:f>
              </x14:cfvo>
              <x14:cfvo type="autoMax"/>
              <x14:borderColor rgb="FFE8D28A"/>
              <x14:negativeFillColor rgb="FFFF0000"/>
              <x14:negativeBorderColor rgb="FFFF0000"/>
              <x14:axisColor rgb="FF000000"/>
            </x14:dataBar>
          </x14:cfRule>
          <xm:sqref>H6:H13</xm:sqref>
        </x14:conditionalFormatting>
      </x14:conditionalFormattings>
    </ext>
  </extLst>
</worksheet>
</file>

<file path=xl/worksheets/sheet5.xml><?xml version="1.0" encoding="utf-8"?>
<worksheet xmlns="http://schemas.openxmlformats.org/spreadsheetml/2006/main" xmlns:r="http://schemas.openxmlformats.org/officeDocument/2006/relationships">
  <sheetPr>
    <tabColor rgb="FFA6A6A6"/>
    <pageSetUpPr fitToPage="1"/>
  </sheetPr>
  <dimension ref="B1:C28"/>
  <sheetViews>
    <sheetView showGridLines="0" workbookViewId="0"/>
  </sheetViews>
  <sheetFormatPr defaultRowHeight="15"/>
  <cols>
    <col min="1" max="1" width="2.7109375" customWidth="1"/>
    <col min="2" max="2" width="22.7109375" customWidth="1"/>
    <col min="3" max="3" width="100.7109375" customWidth="1"/>
  </cols>
  <sheetData>
    <row r="1" spans="2:3" ht="28" customHeight="1">
      <c r="B1" s="17" t="s">
        <v>97</v>
      </c>
      <c r="C1" s="17"/>
    </row>
    <row r="3" spans="2:3">
      <c r="B3" s="13" t="s">
        <v>98</v>
      </c>
      <c r="C3" s="13"/>
    </row>
    <row r="4" spans="2:3">
      <c r="B4" s="29" t="s">
        <v>99</v>
      </c>
      <c r="C4" s="30" t="s">
        <v>100</v>
      </c>
    </row>
    <row r="5" spans="2:3">
      <c r="B5" s="29" t="s">
        <v>101</v>
      </c>
      <c r="C5" s="30" t="s">
        <v>102</v>
      </c>
    </row>
    <row r="6" spans="2:3">
      <c r="B6" s="29" t="s">
        <v>103</v>
      </c>
      <c r="C6" s="30" t="s">
        <v>104</v>
      </c>
    </row>
    <row r="7" spans="2:3">
      <c r="B7" s="29" t="s">
        <v>105</v>
      </c>
      <c r="C7" s="30" t="s">
        <v>106</v>
      </c>
    </row>
    <row r="8" spans="2:3">
      <c r="B8" s="29" t="s">
        <v>107</v>
      </c>
      <c r="C8" s="30" t="s">
        <v>108</v>
      </c>
    </row>
    <row r="10" spans="2:3">
      <c r="B10" s="13" t="s">
        <v>109</v>
      </c>
      <c r="C10" s="13"/>
    </row>
    <row r="11" spans="2:3">
      <c r="B11" s="29" t="s">
        <v>110</v>
      </c>
      <c r="C11" s="30" t="s">
        <v>111</v>
      </c>
    </row>
    <row r="12" spans="2:3">
      <c r="B12" s="29" t="s">
        <v>112</v>
      </c>
      <c r="C12" s="30" t="s">
        <v>113</v>
      </c>
    </row>
    <row r="13" spans="2:3">
      <c r="B13" s="29" t="s">
        <v>114</v>
      </c>
      <c r="C13" s="30" t="s">
        <v>115</v>
      </c>
    </row>
    <row r="14" spans="2:3">
      <c r="B14" s="29" t="s">
        <v>116</v>
      </c>
      <c r="C14" s="30" t="s">
        <v>117</v>
      </c>
    </row>
    <row r="16" spans="2:3">
      <c r="B16" s="13" t="s">
        <v>118</v>
      </c>
      <c r="C16" s="13"/>
    </row>
    <row r="17" spans="2:3">
      <c r="B17" s="31" t="s">
        <v>119</v>
      </c>
      <c r="C17" s="30" t="s">
        <v>120</v>
      </c>
    </row>
    <row r="18" spans="2:3">
      <c r="B18" s="32" t="s">
        <v>121</v>
      </c>
      <c r="C18" s="30" t="s">
        <v>122</v>
      </c>
    </row>
    <row r="19" spans="2:3">
      <c r="B19" s="32" t="s">
        <v>123</v>
      </c>
      <c r="C19" s="30" t="s">
        <v>124</v>
      </c>
    </row>
    <row r="20" spans="2:3">
      <c r="B20" s="33" t="s">
        <v>125</v>
      </c>
      <c r="C20" s="30" t="s">
        <v>126</v>
      </c>
    </row>
    <row r="22" spans="2:3">
      <c r="B22" s="13" t="s">
        <v>127</v>
      </c>
      <c r="C22" s="13"/>
    </row>
    <row r="23" spans="2:3">
      <c r="B23" s="29" t="s">
        <v>128</v>
      </c>
      <c r="C23" s="30" t="s">
        <v>129</v>
      </c>
    </row>
    <row r="24" spans="2:3">
      <c r="B24" s="29" t="s">
        <v>130</v>
      </c>
      <c r="C24" s="30" t="s">
        <v>131</v>
      </c>
    </row>
    <row r="25" spans="2:3">
      <c r="B25" s="29" t="s">
        <v>132</v>
      </c>
      <c r="C25" s="30" t="s">
        <v>133</v>
      </c>
    </row>
    <row r="26" spans="2:3">
      <c r="B26" s="29" t="s">
        <v>134</v>
      </c>
      <c r="C26" s="30" t="s">
        <v>135</v>
      </c>
    </row>
    <row r="28" spans="2:3">
      <c r="B28" s="18" t="s">
        <v>136</v>
      </c>
    </row>
  </sheetData>
  <mergeCells count="5">
    <mergeCell ref="B1:C1"/>
    <mergeCell ref="B3:C3"/>
    <mergeCell ref="B10:C10"/>
    <mergeCell ref="B16:C16"/>
    <mergeCell ref="B22:C22"/>
  </mergeCells>
  <pageMargins left="0.7" right="0.7" top="0.75" bottom="0.75" header="0.3" footer="0.3"/>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vt:lpstr>
      <vt:lpstr>Results</vt:lpstr>
      <vt:lpstr>Issues</vt:lpstr>
      <vt:lpstr>Analysis</vt:lpstr>
      <vt:lpstr>Notes</vt:lpstr>
      <vt:lpstr>Results!Print_Titles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USB Performance Test Results</dc:title>
  <dc:subject>USB read/write throughput through a router or mesh device</dc:subject>
  <dc:creator>USB Performance Automation Tool</dc:creator>
  <dc:description>Blank template</dc:description>
  <cp:lastModifiedBy>USB Performance Automation Tool</cp:lastModifiedBy>
  <dcterms:created xsi:type="dcterms:W3CDTF">2026-10-07T02:45:04Z</dcterms:created>
  <dcterms:modified xsi:type="dcterms:W3CDTF">2026-10-07T02:45:04Z</dcterms:modified>
</cp:coreProperties>
</file>